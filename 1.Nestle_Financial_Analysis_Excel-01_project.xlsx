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ook N Klean\"/>
    </mc:Choice>
  </mc:AlternateContent>
  <xr:revisionPtr revIDLastSave="0" documentId="13_ncr:1_{E2C0BC5F-895C-4027-9341-28087ABA8D45}" xr6:coauthVersionLast="47" xr6:coauthVersionMax="47" xr10:uidLastSave="{00000000-0000-0000-0000-000000000000}"/>
  <bookViews>
    <workbookView xWindow="-120" yWindow="-120" windowWidth="20730" windowHeight="11160" tabRatio="728" activeTab="2" xr2:uid="{16FFC3B7-4BD4-4CA0-870B-128156011F6E}"/>
  </bookViews>
  <sheets>
    <sheet name="Financial Analysis" sheetId="2" r:id="rId1"/>
    <sheet name="Histriocial FS" sheetId="3" r:id="rId2"/>
    <sheet name="Ratio Analysis " sheetId="4" r:id="rId3"/>
    <sheet name="Data Sheet " sheetId="1" r:id="rId4"/>
    <sheet name="Cash flow" sheetId="5" r:id="rId5"/>
  </sheets>
  <calcPr calcId="191029" iterate="1" iterateDelta="9.999999999999445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4" l="1"/>
  <c r="D102" i="3"/>
  <c r="E102" i="3"/>
  <c r="F102" i="3"/>
  <c r="G102" i="3"/>
  <c r="H102" i="3"/>
  <c r="I102" i="3"/>
  <c r="J102" i="3"/>
  <c r="C102" i="3"/>
  <c r="D100" i="3"/>
  <c r="E100" i="3"/>
  <c r="F100" i="3"/>
  <c r="G100" i="3"/>
  <c r="H100" i="3"/>
  <c r="C100" i="3"/>
  <c r="D90" i="3"/>
  <c r="E90" i="3"/>
  <c r="F90" i="3"/>
  <c r="G90" i="3"/>
  <c r="H90" i="3"/>
  <c r="C90" i="3"/>
  <c r="D79" i="3"/>
  <c r="E79" i="3"/>
  <c r="F79" i="3"/>
  <c r="G79" i="3"/>
  <c r="H79" i="3"/>
  <c r="C79" i="3"/>
  <c r="H66" i="3"/>
  <c r="G66" i="3"/>
  <c r="F66" i="3"/>
  <c r="E66" i="3"/>
  <c r="D66" i="3"/>
  <c r="C66" i="3"/>
  <c r="H10" i="4"/>
  <c r="G10" i="4"/>
  <c r="F10" i="4"/>
  <c r="E10" i="4"/>
  <c r="H9" i="4"/>
  <c r="G9" i="4"/>
  <c r="F9" i="4"/>
  <c r="E9" i="4"/>
  <c r="D10" i="4"/>
  <c r="D9" i="4"/>
  <c r="G15" i="3" l="1"/>
  <c r="H15" i="3"/>
  <c r="E15" i="3"/>
  <c r="F15" i="3"/>
  <c r="H30" i="4" l="1"/>
  <c r="H36" i="4" s="1"/>
  <c r="G30" i="4"/>
  <c r="G36" i="4" s="1"/>
  <c r="F30" i="4"/>
  <c r="F36" i="4" s="1"/>
  <c r="E30" i="4"/>
  <c r="E36" i="4" s="1"/>
  <c r="D30" i="4"/>
  <c r="D36" i="4" s="1"/>
  <c r="C30" i="4"/>
  <c r="C36" i="4" s="1"/>
  <c r="H32" i="4"/>
  <c r="G32" i="4"/>
  <c r="F32" i="4"/>
  <c r="E32" i="4"/>
  <c r="D32" i="4"/>
  <c r="H31" i="4"/>
  <c r="G31" i="4"/>
  <c r="F31" i="4"/>
  <c r="E31" i="4"/>
  <c r="D31" i="4"/>
  <c r="C32" i="4"/>
  <c r="C31" i="4"/>
  <c r="H29" i="4"/>
  <c r="H35" i="4" s="1"/>
  <c r="G29" i="4"/>
  <c r="G35" i="4" s="1"/>
  <c r="F29" i="4"/>
  <c r="F35" i="4" s="1"/>
  <c r="E29" i="4"/>
  <c r="E35" i="4" s="1"/>
  <c r="D29" i="4"/>
  <c r="D35" i="4" s="1"/>
  <c r="D37" i="4" s="1"/>
  <c r="C29" i="4"/>
  <c r="C35" i="4" s="1"/>
  <c r="H28" i="4"/>
  <c r="H34" i="4" s="1"/>
  <c r="G28" i="4"/>
  <c r="G34" i="4" s="1"/>
  <c r="F28" i="4"/>
  <c r="F34" i="4" s="1"/>
  <c r="E28" i="4"/>
  <c r="E34" i="4" s="1"/>
  <c r="D28" i="4"/>
  <c r="D34" i="4" s="1"/>
  <c r="C28" i="4"/>
  <c r="C34" i="4" s="1"/>
  <c r="D26" i="4"/>
  <c r="C26" i="4"/>
  <c r="C22" i="4"/>
  <c r="D24" i="4"/>
  <c r="D23" i="4"/>
  <c r="D22" i="4"/>
  <c r="C24" i="4"/>
  <c r="C23" i="4"/>
  <c r="H19" i="4"/>
  <c r="G19" i="4"/>
  <c r="F19" i="4"/>
  <c r="E19" i="4"/>
  <c r="D19" i="4"/>
  <c r="D18" i="4"/>
  <c r="C20" i="4"/>
  <c r="D14" i="4"/>
  <c r="D20" i="4" s="1"/>
  <c r="C14" i="4"/>
  <c r="C19" i="4"/>
  <c r="C18" i="4"/>
  <c r="D16" i="4"/>
  <c r="D15" i="4"/>
  <c r="D13" i="4"/>
  <c r="H12" i="4"/>
  <c r="G12" i="4"/>
  <c r="F12" i="4"/>
  <c r="E12" i="4"/>
  <c r="D12" i="4"/>
  <c r="C16" i="4"/>
  <c r="C15" i="4"/>
  <c r="C13" i="4"/>
  <c r="C12" i="4"/>
  <c r="D8" i="4"/>
  <c r="D6" i="4"/>
  <c r="E5" i="4"/>
  <c r="F5" i="4"/>
  <c r="G5" i="4"/>
  <c r="H5" i="4"/>
  <c r="D5" i="4"/>
  <c r="D2" i="4"/>
  <c r="H3" i="4"/>
  <c r="G3" i="4"/>
  <c r="F3" i="4"/>
  <c r="E3" i="4"/>
  <c r="D3" i="4"/>
  <c r="C3" i="4"/>
  <c r="C78" i="3"/>
  <c r="D78" i="3"/>
  <c r="E78" i="3"/>
  <c r="F78" i="3"/>
  <c r="G78" i="3"/>
  <c r="H78" i="3"/>
  <c r="C82" i="3"/>
  <c r="D82" i="3"/>
  <c r="E82" i="3"/>
  <c r="F82" i="3"/>
  <c r="G82" i="3"/>
  <c r="H82" i="3"/>
  <c r="C83" i="3"/>
  <c r="D83" i="3"/>
  <c r="E83" i="3"/>
  <c r="F83" i="3"/>
  <c r="G83" i="3"/>
  <c r="H83" i="3"/>
  <c r="C84" i="3"/>
  <c r="D84" i="3"/>
  <c r="E84" i="3"/>
  <c r="F84" i="3"/>
  <c r="G84" i="3"/>
  <c r="H84" i="3"/>
  <c r="C75" i="3"/>
  <c r="D75" i="3"/>
  <c r="E75" i="3"/>
  <c r="F75" i="3"/>
  <c r="G75" i="3"/>
  <c r="H75" i="3"/>
  <c r="C76" i="3"/>
  <c r="D76" i="3"/>
  <c r="E76" i="3"/>
  <c r="F76" i="3"/>
  <c r="G76" i="3"/>
  <c r="H76" i="3"/>
  <c r="C77" i="3"/>
  <c r="D77" i="3"/>
  <c r="E77" i="3"/>
  <c r="F77" i="3"/>
  <c r="G77" i="3"/>
  <c r="H77" i="3"/>
  <c r="E71" i="3"/>
  <c r="F71" i="3"/>
  <c r="G71" i="3"/>
  <c r="H71" i="3"/>
  <c r="E72" i="3"/>
  <c r="F72" i="3"/>
  <c r="G72" i="3"/>
  <c r="H72" i="3"/>
  <c r="E73" i="3"/>
  <c r="F73" i="3"/>
  <c r="G73" i="3"/>
  <c r="H73" i="3"/>
  <c r="E74" i="3"/>
  <c r="F74" i="3"/>
  <c r="G74" i="3"/>
  <c r="H74" i="3"/>
  <c r="D93" i="3"/>
  <c r="E93" i="3"/>
  <c r="F93" i="3"/>
  <c r="G93" i="3"/>
  <c r="H93" i="3"/>
  <c r="D94" i="3"/>
  <c r="E94" i="3"/>
  <c r="F94" i="3"/>
  <c r="G94" i="3"/>
  <c r="H94" i="3"/>
  <c r="D95" i="3"/>
  <c r="E95" i="3"/>
  <c r="F95" i="3"/>
  <c r="G95" i="3"/>
  <c r="H95" i="3"/>
  <c r="D96" i="3"/>
  <c r="E96" i="3"/>
  <c r="F96" i="3"/>
  <c r="G96" i="3"/>
  <c r="H96" i="3"/>
  <c r="D97" i="3"/>
  <c r="E97" i="3"/>
  <c r="F97" i="3"/>
  <c r="G97" i="3"/>
  <c r="H97" i="3"/>
  <c r="D98" i="3"/>
  <c r="E98" i="3"/>
  <c r="F98" i="3"/>
  <c r="G98" i="3"/>
  <c r="H98" i="3"/>
  <c r="D99" i="3"/>
  <c r="E99" i="3"/>
  <c r="F99" i="3"/>
  <c r="G99" i="3"/>
  <c r="H99" i="3"/>
  <c r="C94" i="3"/>
  <c r="C95" i="3"/>
  <c r="C96" i="3"/>
  <c r="C97" i="3"/>
  <c r="C98" i="3"/>
  <c r="C99" i="3"/>
  <c r="C93" i="3"/>
  <c r="C85" i="3"/>
  <c r="D85" i="3"/>
  <c r="E85" i="3"/>
  <c r="F85" i="3"/>
  <c r="G85" i="3"/>
  <c r="H85" i="3"/>
  <c r="C86" i="3"/>
  <c r="D86" i="3"/>
  <c r="E86" i="3"/>
  <c r="F86" i="3"/>
  <c r="G86" i="3"/>
  <c r="H86" i="3"/>
  <c r="C87" i="3"/>
  <c r="D87" i="3"/>
  <c r="E87" i="3"/>
  <c r="F87" i="3"/>
  <c r="G87" i="3"/>
  <c r="H87" i="3"/>
  <c r="C88" i="3"/>
  <c r="D88" i="3"/>
  <c r="E88" i="3"/>
  <c r="F88" i="3"/>
  <c r="G88" i="3"/>
  <c r="H88" i="3"/>
  <c r="C89" i="3"/>
  <c r="D89" i="3"/>
  <c r="E89" i="3"/>
  <c r="F89" i="3"/>
  <c r="G89" i="3"/>
  <c r="H89" i="3"/>
  <c r="C73" i="3"/>
  <c r="D73" i="3"/>
  <c r="C74" i="3"/>
  <c r="D74" i="3"/>
  <c r="D72" i="3"/>
  <c r="I72" i="3"/>
  <c r="C71" i="3"/>
  <c r="D71" i="3"/>
  <c r="C72" i="3"/>
  <c r="D60" i="3"/>
  <c r="E60" i="3"/>
  <c r="F60" i="3"/>
  <c r="G60" i="3"/>
  <c r="H60" i="3"/>
  <c r="D61" i="3"/>
  <c r="E61" i="3"/>
  <c r="F61" i="3"/>
  <c r="G61" i="3"/>
  <c r="H61" i="3"/>
  <c r="D62" i="3"/>
  <c r="E62" i="3"/>
  <c r="F62" i="3"/>
  <c r="G62" i="3"/>
  <c r="H62" i="3"/>
  <c r="C61" i="3"/>
  <c r="C62" i="3"/>
  <c r="C60" i="3"/>
  <c r="D54" i="3"/>
  <c r="E54" i="3"/>
  <c r="F54" i="3"/>
  <c r="G54" i="3"/>
  <c r="H54" i="3"/>
  <c r="D55" i="3"/>
  <c r="E55" i="3"/>
  <c r="F55" i="3"/>
  <c r="G55" i="3"/>
  <c r="H55" i="3"/>
  <c r="D56" i="3"/>
  <c r="E56" i="3"/>
  <c r="F56" i="3"/>
  <c r="G56" i="3"/>
  <c r="H56" i="3"/>
  <c r="D57" i="3"/>
  <c r="E57" i="3"/>
  <c r="F57" i="3"/>
  <c r="G57" i="3"/>
  <c r="H57" i="3"/>
  <c r="D58" i="3"/>
  <c r="E58" i="3"/>
  <c r="F58" i="3"/>
  <c r="G58" i="3"/>
  <c r="H58" i="3"/>
  <c r="C55" i="3"/>
  <c r="C56" i="3"/>
  <c r="C57" i="3"/>
  <c r="C58" i="3"/>
  <c r="C54" i="3"/>
  <c r="D51" i="3"/>
  <c r="E51" i="3"/>
  <c r="F51" i="3"/>
  <c r="G51" i="3"/>
  <c r="H51" i="3"/>
  <c r="D52" i="3"/>
  <c r="E52" i="3"/>
  <c r="F52" i="3"/>
  <c r="G52" i="3"/>
  <c r="H52" i="3"/>
  <c r="C52" i="3"/>
  <c r="D48" i="3"/>
  <c r="E48" i="3"/>
  <c r="F48" i="3"/>
  <c r="G48" i="3"/>
  <c r="H48" i="3"/>
  <c r="D49" i="3"/>
  <c r="E49" i="3"/>
  <c r="F49" i="3"/>
  <c r="G49" i="3"/>
  <c r="H49" i="3"/>
  <c r="D50" i="3"/>
  <c r="E50" i="3"/>
  <c r="F50" i="3"/>
  <c r="G50" i="3"/>
  <c r="H50" i="3"/>
  <c r="C49" i="3"/>
  <c r="C50" i="3"/>
  <c r="C51" i="3"/>
  <c r="C48" i="3"/>
  <c r="D41" i="3"/>
  <c r="E41" i="3"/>
  <c r="F41" i="3"/>
  <c r="G41" i="3"/>
  <c r="H41" i="3"/>
  <c r="I41" i="3"/>
  <c r="C41" i="3"/>
  <c r="D36" i="3"/>
  <c r="E36" i="3"/>
  <c r="F36" i="3"/>
  <c r="G36" i="3"/>
  <c r="H36" i="3"/>
  <c r="I36" i="3" s="1"/>
  <c r="C36" i="3"/>
  <c r="D25" i="4" l="1"/>
  <c r="G37" i="4"/>
  <c r="C25" i="4"/>
  <c r="H37" i="4"/>
  <c r="E37" i="4"/>
  <c r="C37" i="4"/>
  <c r="F37" i="4"/>
  <c r="H63" i="3"/>
  <c r="D63" i="3"/>
  <c r="D65" i="3" s="1"/>
  <c r="F63" i="3"/>
  <c r="F65" i="3" s="1"/>
  <c r="C63" i="3"/>
  <c r="C65" i="3" s="1"/>
  <c r="G63" i="3"/>
  <c r="H65" i="3"/>
  <c r="G65" i="3"/>
  <c r="E63" i="3"/>
  <c r="E65" i="3" s="1"/>
  <c r="I30" i="3" l="1"/>
  <c r="D30" i="3"/>
  <c r="E30" i="3"/>
  <c r="F30" i="3"/>
  <c r="G30" i="3"/>
  <c r="H30" i="3"/>
  <c r="C30" i="3"/>
  <c r="I24" i="3"/>
  <c r="D24" i="3"/>
  <c r="E24" i="3"/>
  <c r="F24" i="3"/>
  <c r="G24" i="3"/>
  <c r="H24" i="3"/>
  <c r="C21" i="3"/>
  <c r="C24" i="3"/>
  <c r="I21" i="3"/>
  <c r="D21" i="3"/>
  <c r="E21" i="3"/>
  <c r="F21" i="3"/>
  <c r="G21" i="3"/>
  <c r="H21" i="3"/>
  <c r="I15" i="3"/>
  <c r="D15" i="3"/>
  <c r="C15" i="3"/>
  <c r="I9" i="3"/>
  <c r="D9" i="3"/>
  <c r="E9" i="3"/>
  <c r="F9" i="3"/>
  <c r="F10" i="3" s="1"/>
  <c r="G9" i="3"/>
  <c r="H9" i="3"/>
  <c r="C9" i="3"/>
  <c r="F7" i="3"/>
  <c r="I6" i="3"/>
  <c r="C3" i="3"/>
  <c r="D3" i="3"/>
  <c r="E3" i="3"/>
  <c r="F3" i="3"/>
  <c r="G3" i="3"/>
  <c r="H3" i="3"/>
  <c r="D6" i="3"/>
  <c r="D12" i="3" s="1"/>
  <c r="E6" i="3"/>
  <c r="E16" i="3" s="1"/>
  <c r="E18" i="4" s="1"/>
  <c r="F6" i="3"/>
  <c r="G6" i="3"/>
  <c r="G12" i="3" s="1"/>
  <c r="H6" i="3"/>
  <c r="H7" i="3" s="1"/>
  <c r="C6" i="3"/>
  <c r="C22" i="3" s="1"/>
  <c r="D2" i="3"/>
  <c r="C16" i="3" l="1"/>
  <c r="G16" i="3"/>
  <c r="G18" i="4" s="1"/>
  <c r="G22" i="3"/>
  <c r="G25" i="3"/>
  <c r="I25" i="3"/>
  <c r="C10" i="3"/>
  <c r="E10" i="3"/>
  <c r="F16" i="3"/>
  <c r="F18" i="4" s="1"/>
  <c r="F22" i="3"/>
  <c r="F25" i="3"/>
  <c r="F12" i="3"/>
  <c r="F13" i="3" s="1"/>
  <c r="H10" i="3"/>
  <c r="D10" i="3"/>
  <c r="E22" i="3"/>
  <c r="E25" i="3"/>
  <c r="D16" i="3"/>
  <c r="C25" i="3"/>
  <c r="I22" i="3"/>
  <c r="G10" i="3"/>
  <c r="I10" i="3"/>
  <c r="H16" i="3"/>
  <c r="H18" i="4" s="1"/>
  <c r="H22" i="3"/>
  <c r="D22" i="3"/>
  <c r="H25" i="3"/>
  <c r="D25" i="3"/>
  <c r="G18" i="3"/>
  <c r="G13" i="3"/>
  <c r="D18" i="3"/>
  <c r="D13" i="3"/>
  <c r="F18" i="3"/>
  <c r="D7" i="3"/>
  <c r="I7" i="3"/>
  <c r="E7" i="3"/>
  <c r="G7" i="3"/>
  <c r="H12" i="3"/>
  <c r="C12" i="3"/>
  <c r="I12" i="3"/>
  <c r="E12" i="3"/>
  <c r="I16" i="3"/>
  <c r="B6" i="1"/>
  <c r="E1" i="1"/>
  <c r="G26" i="4" l="1"/>
  <c r="G22" i="4"/>
  <c r="F19" i="3"/>
  <c r="F13" i="4" s="1"/>
  <c r="F26" i="4"/>
  <c r="F22" i="4"/>
  <c r="F6" i="4"/>
  <c r="G6" i="4"/>
  <c r="F27" i="3"/>
  <c r="H18" i="3"/>
  <c r="H13" i="3"/>
  <c r="D19" i="3"/>
  <c r="D27" i="3"/>
  <c r="E18" i="3"/>
  <c r="E13" i="3"/>
  <c r="C18" i="3"/>
  <c r="C13" i="3"/>
  <c r="I18" i="3"/>
  <c r="I13" i="3"/>
  <c r="G19" i="3"/>
  <c r="G13" i="4" s="1"/>
  <c r="G27" i="3"/>
  <c r="G14" i="4" s="1"/>
  <c r="G20" i="4" s="1"/>
  <c r="F31" i="3"/>
  <c r="H26" i="4" l="1"/>
  <c r="H6" i="4"/>
  <c r="H22" i="4"/>
  <c r="E6" i="4"/>
  <c r="E22" i="4"/>
  <c r="E26" i="4"/>
  <c r="F28" i="3"/>
  <c r="F15" i="4" s="1"/>
  <c r="F14" i="4"/>
  <c r="F20" i="4" s="1"/>
  <c r="G8" i="4"/>
  <c r="G7" i="4"/>
  <c r="F33" i="3"/>
  <c r="G31" i="3"/>
  <c r="G28" i="3"/>
  <c r="G15" i="4" s="1"/>
  <c r="G33" i="3"/>
  <c r="G24" i="4" s="1"/>
  <c r="D28" i="3"/>
  <c r="D33" i="3"/>
  <c r="D31" i="3"/>
  <c r="F38" i="3"/>
  <c r="C19" i="3"/>
  <c r="C27" i="3"/>
  <c r="I27" i="3"/>
  <c r="I19" i="3"/>
  <c r="E27" i="3"/>
  <c r="E19" i="3"/>
  <c r="E13" i="4" s="1"/>
  <c r="H19" i="3"/>
  <c r="H13" i="4" s="1"/>
  <c r="H27" i="3"/>
  <c r="H7" i="4" l="1"/>
  <c r="H14" i="4"/>
  <c r="H20" i="4" s="1"/>
  <c r="H8" i="4"/>
  <c r="E7" i="4"/>
  <c r="E14" i="4"/>
  <c r="E20" i="4" s="1"/>
  <c r="E8" i="4"/>
  <c r="F24" i="4"/>
  <c r="F8" i="4"/>
  <c r="F34" i="3"/>
  <c r="F16" i="4" s="1"/>
  <c r="F7" i="4"/>
  <c r="H28" i="3"/>
  <c r="H15" i="4" s="1"/>
  <c r="H33" i="3"/>
  <c r="H31" i="3"/>
  <c r="F42" i="3"/>
  <c r="F44" i="3" s="1"/>
  <c r="F23" i="4" s="1"/>
  <c r="I31" i="3"/>
  <c r="I28" i="3"/>
  <c r="I33" i="3"/>
  <c r="G34" i="3"/>
  <c r="G16" i="4" s="1"/>
  <c r="G38" i="3"/>
  <c r="C33" i="3"/>
  <c r="C31" i="3"/>
  <c r="C28" i="3"/>
  <c r="E31" i="3"/>
  <c r="E33" i="3"/>
  <c r="E28" i="3"/>
  <c r="E15" i="4" s="1"/>
  <c r="D34" i="3"/>
  <c r="D38" i="3"/>
  <c r="H24" i="4" l="1"/>
  <c r="F25" i="4"/>
  <c r="E24" i="4"/>
  <c r="D42" i="3"/>
  <c r="D44" i="3" s="1"/>
  <c r="G42" i="3"/>
  <c r="G44" i="3" s="1"/>
  <c r="G23" i="4" s="1"/>
  <c r="G25" i="4" s="1"/>
  <c r="G39" i="3"/>
  <c r="E34" i="3"/>
  <c r="E16" i="4" s="1"/>
  <c r="E38" i="3"/>
  <c r="C34" i="3"/>
  <c r="C38" i="3"/>
  <c r="D39" i="3" s="1"/>
  <c r="H34" i="3"/>
  <c r="H16" i="4" s="1"/>
  <c r="H38" i="3"/>
  <c r="I34" i="3"/>
  <c r="I38" i="3"/>
  <c r="E39" i="3" l="1"/>
  <c r="E42" i="3"/>
  <c r="E44" i="3" s="1"/>
  <c r="E23" i="4" s="1"/>
  <c r="E25" i="4" s="1"/>
  <c r="F39" i="3"/>
  <c r="I39" i="3"/>
  <c r="I42" i="3"/>
  <c r="C42" i="3"/>
  <c r="C44" i="3" s="1"/>
  <c r="H39" i="3"/>
  <c r="H42" i="3"/>
  <c r="H44" i="3" s="1"/>
  <c r="H23" i="4" s="1"/>
  <c r="H25" i="4" s="1"/>
</calcChain>
</file>

<file path=xl/sharedStrings.xml><?xml version="1.0" encoding="utf-8"?>
<sst xmlns="http://schemas.openxmlformats.org/spreadsheetml/2006/main" count="206" uniqueCount="150">
  <si>
    <t>COMPANY NAME</t>
  </si>
  <si>
    <t>NESTLE INDIA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</si>
  <si>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</si>
  <si>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</si>
  <si>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</si>
  <si>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</si>
  <si>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</si>
  <si>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</si>
  <si>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</si>
  <si>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</si>
  <si>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</si>
  <si>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</si>
  <si>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</si>
  <si>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</si>
  <si>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</si>
  <si>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</si>
  <si>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</si>
  <si>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</si>
  <si>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</si>
  <si>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</si>
  <si>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</si>
  <si>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</si>
  <si>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</si>
  <si>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</si>
  <si>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</si>
  <si>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</si>
  <si>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</si>
  <si>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</si>
  <si>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</si>
  <si>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</si>
  <si>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</si>
  <si>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</si>
  <si>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</si>
  <si>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</si>
  <si>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</si>
  <si>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</si>
  <si>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</si>
  <si>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</si>
  <si>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</si>
  <si>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</si>
  <si>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</si>
  <si>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</si>
  <si>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</si>
  <si>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</si>
  <si>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</si>
  <si>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</si>
  <si>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</si>
  <si>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</si>
  <si>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</si>
  <si>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</si>
  <si>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</si>
  <si>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</si>
  <si>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</si>
  <si>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</si>
  <si>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</t>
  </si>
  <si>
    <t>LTM</t>
  </si>
  <si>
    <t xml:space="preserve">Income  Statement </t>
  </si>
  <si>
    <t>#</t>
  </si>
  <si>
    <t>Sales Growth</t>
  </si>
  <si>
    <t>COGS</t>
  </si>
  <si>
    <t xml:space="preserve">Cogs% of sale </t>
  </si>
  <si>
    <t>Gross Profit</t>
  </si>
  <si>
    <t>Gross Margin</t>
  </si>
  <si>
    <t>S&amp;G Expences</t>
  </si>
  <si>
    <t>S&amp;G Expences% of sales</t>
  </si>
  <si>
    <t>EBITDA</t>
  </si>
  <si>
    <t>EBITDA Margin</t>
  </si>
  <si>
    <t xml:space="preserve">Interest% of sales </t>
  </si>
  <si>
    <t>Depreciation% of sales</t>
  </si>
  <si>
    <t>Earning before Tax (EBT)</t>
  </si>
  <si>
    <t>EBT% Sale</t>
  </si>
  <si>
    <t xml:space="preserve">Effective Tax Rate </t>
  </si>
  <si>
    <t xml:space="preserve">Net Profit </t>
  </si>
  <si>
    <t>Net Margin</t>
  </si>
  <si>
    <t>Earning per Shares</t>
  </si>
  <si>
    <t>EPS Growth%</t>
  </si>
  <si>
    <t>Dividend Per Shares</t>
  </si>
  <si>
    <t>Dividend payout ratio</t>
  </si>
  <si>
    <t>Retained Earnings</t>
  </si>
  <si>
    <t>Balance Sheet</t>
  </si>
  <si>
    <t>Total Liabilites</t>
  </si>
  <si>
    <t>Fixed Assest Net Block</t>
  </si>
  <si>
    <t xml:space="preserve">Total Non Current Assest </t>
  </si>
  <si>
    <t>Total Current Assest</t>
  </si>
  <si>
    <t>Total Assets</t>
  </si>
  <si>
    <t xml:space="preserve">Cash Flow Statement </t>
  </si>
  <si>
    <t xml:space="preserve">Operating Activites 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</si>
  <si>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</si>
  <si>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</si>
  <si>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</si>
  <si>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</si>
  <si>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</si>
  <si>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</si>
  <si>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 xml:space="preserve">Cash from Operating Activity </t>
  </si>
  <si>
    <t>Investing Activity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</si>
  <si>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</si>
  <si>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</si>
  <si>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</si>
  <si>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</si>
  <si>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</si>
  <si>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</si>
  <si>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</si>
  <si>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</si>
  <si>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 xml:space="preserve">Cash from Inveting Activity </t>
  </si>
  <si>
    <t xml:space="preserve">Financial Activity 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</si>
  <si>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</si>
  <si>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</si>
  <si>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</si>
  <si>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</si>
  <si>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</si>
  <si>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</si>
  <si>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</si>
  <si>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Financial Activity</t>
  </si>
  <si>
    <t>Net Cash flow</t>
  </si>
  <si>
    <t>Figures in Rs. Crores </t>
  </si>
  <si>
    <t>Standalone Figures in Rs. Crores / View Consolidated</t>
  </si>
  <si>
    <r>
      <t>Cash from Operating Activity </t>
    </r>
    <r>
      <rPr>
        <sz val="11"/>
        <color rgb="FF665EFD"/>
        <rFont val="Arial"/>
        <family val="2"/>
      </rPr>
      <t>-</t>
    </r>
  </si>
  <si>
    <t>Operating borrowings</t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</si>
  <si>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</si>
  <si>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</si>
  <si>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Investment subsidy</t>
  </si>
  <si>
    <t>Free Cash Flow</t>
  </si>
  <si>
    <t>CFO/OP</t>
  </si>
  <si>
    <t>EBITDA Growth</t>
  </si>
  <si>
    <t>EBIT Growth</t>
  </si>
  <si>
    <t>EBT Growth</t>
  </si>
  <si>
    <t xml:space="preserve">Net Profit Growth </t>
  </si>
  <si>
    <t>Dividend Growth</t>
  </si>
  <si>
    <t xml:space="preserve">EBITDA Margin </t>
  </si>
  <si>
    <t>EBIT margin</t>
  </si>
  <si>
    <t>EBT Margin</t>
  </si>
  <si>
    <t>Net Profit Margin</t>
  </si>
  <si>
    <t>Sales Exp% Sales</t>
  </si>
  <si>
    <t xml:space="preserve">Depreciation% Sales  </t>
  </si>
  <si>
    <t>Operationg income %Sales</t>
  </si>
  <si>
    <t xml:space="preserve">Return on Capital Employed </t>
  </si>
  <si>
    <t>Retained Earning %</t>
  </si>
  <si>
    <t>Return on Equity%</t>
  </si>
  <si>
    <t xml:space="preserve">Self Sustained Growth Rate </t>
  </si>
  <si>
    <t xml:space="preserve">Interest Coverage ratio </t>
  </si>
  <si>
    <t xml:space="preserve">Debtor Turnover Ratio </t>
  </si>
  <si>
    <t>Creditor Turnover ratio</t>
  </si>
  <si>
    <t>Inventory Turnover ratio</t>
  </si>
  <si>
    <t>Fixed Asset Turnover ratio</t>
  </si>
  <si>
    <t>Capital Turnover ratio</t>
  </si>
  <si>
    <t>Debtor Days</t>
  </si>
  <si>
    <t>Payable Days</t>
  </si>
  <si>
    <t xml:space="preserve">Inventory Days  </t>
  </si>
  <si>
    <t xml:space="preserve">Cash Conversion Cycle 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</si>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</sst>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&quot;₹&quot;\ \(#,##0.0\);\-"/>
    <numFmt numFmtId="167" formatCode="&quot;₹&quot;\ #,##0.00"/>
    <numFmt numFmtId="168" formatCode="_(\ * #,##0.00_ \);_(* \(\-#,##0.00\);_(\ * &quot;-&quot;??_ ;_(\ @_ \)"/>
    <numFmt numFmtId="169" formatCode="&quot;₹&quot;\ #,##0.00;&quot;₹&quot;\ \(#,##0.00\);\-"/>
    <numFmt numFmtId="170" formatCode="0.00\x"/>
    <numFmt numFmtId="171" formatCode="0\ &quot;D&quot;"/>
  </numFmts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606F7B"/>
      <name val="Arial"/>
      <family val="2"/>
    </font>
    <font>
      <sz val="11"/>
      <color rgb="FF606F7B"/>
      <name val="Arial"/>
      <family val="2"/>
    </font>
    <font>
      <sz val="11"/>
      <color theme="1"/>
      <name val="Arial"/>
      <family val="2"/>
    </font>
    <font>
      <sz val="11"/>
      <color rgb="FF665EFD"/>
      <name val="Arial"/>
      <family val="2"/>
    </font>
    <font>
      <sz val="11"/>
      <color theme="1"/>
      <name val="Arial"/>
      <family val="2"/>
    </font>
    <font>
      <sz val="11"/>
      <color rgb="FF606F7B"/>
      <name val="Arial"/>
      <family val="2"/>
    </font>
    <font>
      <sz val="8"/>
      <color theme="1"/>
      <name val="Calibri"/>
      <family val="2"/>
    </font>
    <font>
      <b/>
      <sz val="16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70">
    <xf numFmtId="0" fontId="0" fillId="0" borderId="0" xfId="0"/>
    <xf numFmtId="43" fontId="7" fillId="0" borderId="0" xfId="1" applyFont="1" applyBorder="1"/>
    <xf numFmtId="43" fontId="0" fillId="0" borderId="0" xfId="1" applyFont="1" applyBorder="1"/>
    <xf numFmtId="164" fontId="8" fillId="3" borderId="0" xfId="1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9" fillId="0" borderId="0" xfId="1" applyNumberFormat="1" applyFont="1" applyFill="1" applyBorder="1"/>
    <xf numFmtId="43" fontId="6" fillId="0" borderId="0" xfId="1" applyFont="1" applyBorder="1"/>
    <xf numFmtId="165" fontId="0" fillId="0" borderId="0" xfId="1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3" fillId="5" borderId="0" xfId="0" applyFont="1" applyFill="1"/>
    <xf numFmtId="0" fontId="0" fillId="5" borderId="0" xfId="0" applyFill="1"/>
    <xf numFmtId="0" fontId="3" fillId="0" borderId="0" xfId="0" applyFont="1"/>
    <xf numFmtId="10" fontId="10" fillId="0" borderId="0" xfId="2" applyNumberFormat="1" applyFont="1" applyBorder="1"/>
    <xf numFmtId="0" fontId="0" fillId="0" borderId="1" xfId="0" applyBorder="1"/>
    <xf numFmtId="0" fontId="3" fillId="0" borderId="2" xfId="0" applyFont="1" applyBorder="1"/>
    <xf numFmtId="10" fontId="10" fillId="0" borderId="3" xfId="2" applyNumberFormat="1" applyFont="1" applyBorder="1"/>
    <xf numFmtId="0" fontId="3" fillId="0" borderId="4" xfId="0" applyFont="1" applyBorder="1"/>
    <xf numFmtId="0" fontId="0" fillId="0" borderId="4" xfId="0" applyBorder="1"/>
    <xf numFmtId="43" fontId="11" fillId="0" borderId="0" xfId="5" applyFont="1" applyBorder="1"/>
    <xf numFmtId="43" fontId="12" fillId="0" borderId="0" xfId="5" applyFont="1" applyBorder="1"/>
    <xf numFmtId="0" fontId="3" fillId="0" borderId="5" xfId="0" applyFont="1" applyBorder="1"/>
    <xf numFmtId="43" fontId="12" fillId="0" borderId="4" xfId="5" applyFont="1" applyBorder="1"/>
    <xf numFmtId="43" fontId="12" fillId="0" borderId="4" xfId="5" applyFont="1" applyFill="1" applyBorder="1"/>
    <xf numFmtId="0" fontId="13" fillId="0" borderId="0" xfId="0" applyFont="1"/>
    <xf numFmtId="166" fontId="3" fillId="0" borderId="0" xfId="0" applyNumberFormat="1" applyFont="1"/>
    <xf numFmtId="167" fontId="3" fillId="0" borderId="4" xfId="0" applyNumberFormat="1" applyFont="1" applyBorder="1"/>
    <xf numFmtId="0" fontId="10" fillId="0" borderId="0" xfId="0" applyFont="1"/>
    <xf numFmtId="17" fontId="14" fillId="4" borderId="0" xfId="0" applyNumberFormat="1" applyFont="1" applyFill="1"/>
    <xf numFmtId="0" fontId="15" fillId="0" borderId="0" xfId="0" applyFont="1"/>
    <xf numFmtId="167" fontId="3" fillId="0" borderId="0" xfId="0" applyNumberFormat="1" applyFont="1"/>
    <xf numFmtId="0" fontId="5" fillId="0" borderId="0" xfId="4" applyAlignment="1">
      <alignment vertical="center" wrapText="1"/>
    </xf>
    <xf numFmtId="0" fontId="16" fillId="6" borderId="6" xfId="0" applyFont="1" applyFill="1" applyBorder="1" applyAlignment="1">
      <alignment horizontal="left" vertical="center" indent="2"/>
    </xf>
    <xf numFmtId="17" fontId="16" fillId="6" borderId="6" xfId="0" applyNumberFormat="1" applyFont="1" applyFill="1" applyBorder="1" applyAlignment="1">
      <alignment horizontal="right" vertical="center" wrapText="1" indent="1"/>
    </xf>
    <xf numFmtId="0" fontId="17" fillId="7" borderId="7" xfId="0" applyFont="1" applyFill="1" applyBorder="1" applyAlignment="1">
      <alignment horizontal="left" vertical="center" indent="2"/>
    </xf>
    <xf numFmtId="3" fontId="17" fillId="7" borderId="7" xfId="0" applyNumberFormat="1" applyFont="1" applyFill="1" applyBorder="1" applyAlignment="1">
      <alignment horizontal="right" vertical="center" wrapText="1" indent="1"/>
    </xf>
    <xf numFmtId="0" fontId="17" fillId="7" borderId="7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7" borderId="0" xfId="0" applyFont="1" applyFill="1" applyAlignment="1">
      <alignment horizontal="right" vertical="center" wrapText="1" indent="1"/>
    </xf>
    <xf numFmtId="0" fontId="17" fillId="7" borderId="7" xfId="0" applyFont="1" applyFill="1" applyBorder="1" applyAlignment="1">
      <alignment horizontal="right" vertical="center" wrapText="1" indent="1"/>
    </xf>
    <xf numFmtId="3" fontId="19" fillId="7" borderId="0" xfId="0" applyNumberFormat="1" applyFont="1" applyFill="1" applyAlignment="1">
      <alignment horizontal="right" vertical="center" wrapText="1" indent="1"/>
    </xf>
    <xf numFmtId="0" fontId="17" fillId="6" borderId="7" xfId="0" applyFont="1" applyFill="1" applyBorder="1" applyAlignment="1">
      <alignment horizontal="left" vertical="center" indent="2"/>
    </xf>
    <xf numFmtId="0" fontId="17" fillId="6" borderId="7" xfId="0" applyFont="1" applyFill="1" applyBorder="1" applyAlignment="1">
      <alignment horizontal="right" vertical="center" wrapText="1" indent="1"/>
    </xf>
    <xf numFmtId="3" fontId="17" fillId="6" borderId="7" xfId="0" applyNumberFormat="1" applyFont="1" applyFill="1" applyBorder="1" applyAlignment="1">
      <alignment horizontal="right" vertical="center" wrapText="1" indent="1"/>
    </xf>
    <xf numFmtId="0" fontId="19" fillId="6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right" vertical="center" wrapText="1" indent="1"/>
    </xf>
    <xf numFmtId="3" fontId="19" fillId="6" borderId="0" xfId="0" applyNumberFormat="1" applyFont="1" applyFill="1" applyAlignment="1">
      <alignment horizontal="right" vertical="center" wrapText="1" indent="1"/>
    </xf>
    <xf numFmtId="0" fontId="20" fillId="7" borderId="0" xfId="0" applyFont="1" applyFill="1" applyAlignment="1">
      <alignment horizontal="left" vertical="center" indent="2"/>
    </xf>
    <xf numFmtId="0" fontId="20" fillId="7" borderId="0" xfId="0" applyFont="1" applyFill="1" applyAlignment="1">
      <alignment horizontal="right" vertical="center" wrapText="1" indent="1"/>
    </xf>
    <xf numFmtId="3" fontId="20" fillId="7" borderId="0" xfId="0" applyNumberFormat="1" applyFont="1" applyFill="1" applyAlignment="1">
      <alignment horizontal="right" vertical="center" wrapText="1" indent="1"/>
    </xf>
    <xf numFmtId="0" fontId="20" fillId="6" borderId="0" xfId="0" applyFont="1" applyFill="1" applyAlignment="1">
      <alignment horizontal="left" vertical="center" indent="2"/>
    </xf>
    <xf numFmtId="9" fontId="20" fillId="6" borderId="0" xfId="0" applyNumberFormat="1" applyFont="1" applyFill="1" applyAlignment="1">
      <alignment horizontal="right" vertical="center" wrapText="1" indent="1"/>
    </xf>
    <xf numFmtId="168" fontId="3" fillId="0" borderId="0" xfId="0" applyNumberFormat="1" applyFont="1"/>
    <xf numFmtId="169" fontId="3" fillId="0" borderId="0" xfId="0" applyNumberFormat="1" applyFont="1"/>
    <xf numFmtId="169" fontId="3" fillId="0" borderId="5" xfId="0" applyNumberFormat="1" applyFont="1" applyBorder="1"/>
    <xf numFmtId="0" fontId="0" fillId="0" borderId="0" xfId="0" applyAlignment="1">
      <alignment wrapText="1"/>
    </xf>
    <xf numFmtId="10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21" fillId="0" borderId="0" xfId="0" applyFont="1"/>
    <xf numFmtId="167" fontId="0" fillId="0" borderId="0" xfId="0" applyNumberFormat="1"/>
    <xf numFmtId="169" fontId="0" fillId="0" borderId="0" xfId="0" applyNumberFormat="1"/>
    <xf numFmtId="170" fontId="0" fillId="0" borderId="4" xfId="0" applyNumberFormat="1" applyBorder="1"/>
    <xf numFmtId="17" fontId="22" fillId="4" borderId="0" xfId="0" applyNumberFormat="1" applyFont="1" applyFill="1"/>
    <xf numFmtId="10" fontId="0" fillId="0" borderId="4" xfId="0" applyNumberFormat="1" applyBorder="1"/>
    <xf numFmtId="169" fontId="0" fillId="0" borderId="8" xfId="0" applyNumberFormat="1" applyBorder="1"/>
    <xf numFmtId="0" fontId="0" fillId="0" borderId="0" xfId="0" applyAlignment="1">
      <alignment horizontal="center"/>
    </xf>
    <xf numFmtId="43" fontId="5" fillId="0" borderId="0" xfId="4" applyNumberFormat="1" applyBorder="1" applyAlignment="1" applyProtection="1">
      <alignment horizontal="center"/>
    </xf>
    <xf numFmtId="43" fontId="8" fillId="2" borderId="0" xfId="3" applyNumberFormat="1" applyFont="1" applyBorder="1" applyAlignment="1">
      <alignment horizontal="center"/>
    </xf>
  </cellXfs>
  <cellStyles count="6">
    <cellStyle name="Accent6" xfId="3" builtinId="49"/>
    <cellStyle name="Comma" xfId="1" builtinId="3"/>
    <cellStyle name="Comma 2" xfId="5" xr:uid="{B1D41F61-B7B8-498D-99B1-4BCA1BE1CE82}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180975</xdr:colOff>
      <xdr:row>3</xdr:row>
      <xdr:rowOff>85724</xdr:rowOff>
    </xdr:from>
    <xdr:ext cx="5114925" cy="34956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EEEF61-0560-DA28-7093-D9726B13E94C}"/>
            </a:ext>
          </a:extLst>
        </xdr:cNvPr>
        <xdr:cNvSpPr txBox="1"/>
      </xdr:nvSpPr>
      <xdr:spPr>
        <a:xfrm>
          <a:off x="1400175" y="657224"/>
          <a:ext cx="5114925" cy="3495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1">
              <a:solidFill>
                <a:schemeClr val="tx1"/>
              </a:solidFill>
              <a:latin typeface="Britannic Bold" panose="020B0903060703020204" pitchFamily="34" charset="0"/>
              <a:ea typeface="+mn-ea"/>
              <a:cs typeface="+mn-cs"/>
            </a:rPr>
            <a:t>Nestlé</a:t>
          </a:r>
          <a:r>
            <a:rPr lang="en-IN" sz="4000" b="1">
              <a:latin typeface="Britannic Bold" panose="020B0903060703020204" pitchFamily="34" charset="0"/>
            </a:rPr>
            <a:t> India Financial analyses</a:t>
          </a:r>
        </a:p>
      </xdr:txBody>
    </xdr:sp>
    <xdr:clientData/>
  </xdr:oneCellAnchor>
  <xdr:twoCellAnchor editAs="oneCell">
    <xdr:from>
      <xdr:col>5</xdr:col>
      <xdr:colOff>152400</xdr:colOff>
      <xdr:row>7</xdr:row>
      <xdr:rowOff>134300</xdr:rowOff>
    </xdr:from>
    <xdr:to>
      <xdr:col>10</xdr:col>
      <xdr:colOff>581025</xdr:colOff>
      <xdr:row>19</xdr:row>
      <xdr:rowOff>161926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831D0A-98E4-CE78-D6B8-D44381305C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26" r="14960" b="24597"/>
        <a:stretch>
          <a:fillRect/>
        </a:stretch>
      </xdr:blipFill>
      <xdr:spPr>
        <a:xfrm>
          <a:off x="3200400" y="1467800"/>
          <a:ext cx="3476625" cy="2313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NESTLEIND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37A3-C635-46E7-8BA0-5EEF7DA809A8}">
  <sheetPr>
    <tabColor theme="8" tint="-0.499984740745262"/>
  </sheetPr>
  <dimension ref="C4:K20"/>
  <sheetViews>
    <sheetView topLeftCell="A2" workbookViewId="0">
      <selection activeCell="O14" sqref="O14"/>
    </sheetView>
  </sheetViews>
  <sheetFormatPr defaultRowHeight="15" x14ac:dyDescent="0.25"/>
  <sheetData>
    <row r="4" spans="3:11" x14ac:dyDescent="0.25">
      <c r="C4" s="67"/>
      <c r="D4" s="67"/>
      <c r="E4" s="67"/>
      <c r="F4" s="67"/>
      <c r="G4" s="67"/>
      <c r="H4" s="67"/>
      <c r="I4" s="67"/>
      <c r="J4" s="67"/>
      <c r="K4" s="67"/>
    </row>
    <row r="5" spans="3:11" x14ac:dyDescent="0.25">
      <c r="C5" s="67"/>
      <c r="D5" s="67"/>
      <c r="E5" s="67"/>
      <c r="F5" s="67"/>
      <c r="G5" s="67"/>
      <c r="H5" s="67"/>
      <c r="I5" s="67"/>
      <c r="J5" s="67"/>
      <c r="K5" s="67"/>
    </row>
    <row r="6" spans="3:11" x14ac:dyDescent="0.25">
      <c r="C6" s="67"/>
      <c r="D6" s="67"/>
      <c r="E6" s="67"/>
      <c r="F6" s="67"/>
      <c r="G6" s="67"/>
      <c r="H6" s="67"/>
      <c r="I6" s="67"/>
      <c r="J6" s="67"/>
      <c r="K6" s="67"/>
    </row>
    <row r="7" spans="3:11" x14ac:dyDescent="0.25">
      <c r="C7" s="67"/>
      <c r="D7" s="67"/>
      <c r="E7" s="67"/>
      <c r="F7" s="67"/>
      <c r="G7" s="67"/>
      <c r="H7" s="67"/>
      <c r="I7" s="67"/>
      <c r="J7" s="67"/>
      <c r="K7" s="67"/>
    </row>
    <row r="8" spans="3:11" x14ac:dyDescent="0.25">
      <c r="C8" s="67"/>
      <c r="D8" s="67"/>
      <c r="E8" s="67"/>
      <c r="F8" s="67"/>
      <c r="G8" s="67"/>
      <c r="H8" s="67"/>
      <c r="I8" s="67"/>
      <c r="J8" s="67"/>
      <c r="K8" s="67"/>
    </row>
    <row r="9" spans="3:11" x14ac:dyDescent="0.25">
      <c r="C9" s="67"/>
      <c r="D9" s="67"/>
      <c r="E9" s="67"/>
      <c r="F9" s="67"/>
      <c r="G9" s="67"/>
      <c r="H9" s="67"/>
      <c r="I9" s="67"/>
      <c r="J9" s="67"/>
      <c r="K9" s="67"/>
    </row>
    <row r="10" spans="3:11" x14ac:dyDescent="0.25">
      <c r="C10" s="67"/>
      <c r="D10" s="67"/>
      <c r="E10" s="67"/>
      <c r="F10" s="67"/>
      <c r="G10" s="67"/>
      <c r="H10" s="67"/>
      <c r="I10" s="67"/>
      <c r="J10" s="67"/>
      <c r="K10" s="67"/>
    </row>
    <row r="11" spans="3:11" x14ac:dyDescent="0.25">
      <c r="C11" s="67"/>
      <c r="D11" s="67"/>
      <c r="E11" s="67"/>
      <c r="F11" s="67"/>
      <c r="G11" s="67"/>
      <c r="H11" s="67"/>
      <c r="I11" s="67"/>
      <c r="J11" s="67"/>
      <c r="K11" s="67"/>
    </row>
    <row r="12" spans="3:11" x14ac:dyDescent="0.25">
      <c r="C12" s="67"/>
      <c r="D12" s="67"/>
      <c r="E12" s="67"/>
      <c r="F12" s="67"/>
      <c r="G12" s="67"/>
      <c r="H12" s="67"/>
      <c r="I12" s="67"/>
      <c r="J12" s="67"/>
      <c r="K12" s="67"/>
    </row>
    <row r="13" spans="3:11" x14ac:dyDescent="0.25">
      <c r="C13" s="67"/>
      <c r="D13" s="67"/>
      <c r="E13" s="67"/>
      <c r="F13" s="67"/>
      <c r="G13" s="67"/>
      <c r="H13" s="67"/>
      <c r="I13" s="67"/>
      <c r="J13" s="67"/>
      <c r="K13" s="67"/>
    </row>
    <row r="14" spans="3:11" x14ac:dyDescent="0.25">
      <c r="C14" s="67"/>
      <c r="D14" s="67"/>
      <c r="E14" s="67"/>
      <c r="F14" s="67"/>
      <c r="G14" s="67"/>
      <c r="H14" s="67"/>
      <c r="I14" s="67"/>
      <c r="J14" s="67"/>
      <c r="K14" s="67"/>
    </row>
    <row r="15" spans="3:11" x14ac:dyDescent="0.25">
      <c r="C15" s="67"/>
      <c r="D15" s="67"/>
      <c r="E15" s="67"/>
      <c r="F15" s="67"/>
      <c r="G15" s="67"/>
      <c r="H15" s="67"/>
      <c r="I15" s="67"/>
      <c r="J15" s="67"/>
      <c r="K15" s="67"/>
    </row>
    <row r="16" spans="3:11" x14ac:dyDescent="0.25">
      <c r="C16" s="67"/>
      <c r="D16" s="67"/>
      <c r="E16" s="67"/>
      <c r="F16" s="67"/>
      <c r="G16" s="67"/>
      <c r="H16" s="67"/>
      <c r="I16" s="67"/>
      <c r="J16" s="67"/>
      <c r="K16" s="67"/>
    </row>
    <row r="17" spans="3:11" x14ac:dyDescent="0.25">
      <c r="C17" s="67"/>
      <c r="D17" s="67"/>
      <c r="E17" s="67"/>
      <c r="F17" s="67"/>
      <c r="G17" s="67"/>
      <c r="H17" s="67"/>
      <c r="I17" s="67"/>
      <c r="J17" s="67"/>
      <c r="K17" s="67"/>
    </row>
    <row r="18" spans="3:11" x14ac:dyDescent="0.25">
      <c r="C18" s="67"/>
      <c r="D18" s="67"/>
      <c r="E18" s="67"/>
      <c r="F18" s="67"/>
      <c r="G18" s="67"/>
      <c r="H18" s="67"/>
      <c r="I18" s="67"/>
      <c r="J18" s="67"/>
      <c r="K18" s="67"/>
    </row>
    <row r="19" spans="3:11" x14ac:dyDescent="0.25">
      <c r="C19" s="67"/>
      <c r="D19" s="67"/>
      <c r="E19" s="67"/>
      <c r="F19" s="67"/>
      <c r="G19" s="67"/>
      <c r="H19" s="67"/>
      <c r="I19" s="67"/>
      <c r="J19" s="67"/>
      <c r="K19" s="67"/>
    </row>
    <row r="20" spans="3:11" x14ac:dyDescent="0.25">
      <c r="C20" s="67"/>
      <c r="D20" s="67"/>
      <c r="E20" s="67"/>
      <c r="F20" s="67"/>
      <c r="G20" s="67"/>
      <c r="H20" s="67"/>
      <c r="I20" s="67"/>
      <c r="J20" s="67"/>
      <c r="K20" s="67"/>
    </row>
  </sheetData>
  <mergeCells count="1">
    <mergeCell ref="C4:K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3961-71BB-4E48-87AB-D6D7BF71442D}">
  <sheetPr>
    <tabColor theme="8" tint="0.39997558519241921"/>
  </sheetPr>
  <dimension ref="A1:J105"/>
  <sheetViews>
    <sheetView showGridLines="0" workbookViewId="0">
      <pane ySplit="3" topLeftCell="A44" activePane="bottomLeft" state="frozen"/>
      <selection pane="bottomLeft" activeCell="C60" sqref="C60"/>
    </sheetView>
  </sheetViews>
  <sheetFormatPr defaultRowHeight="15" x14ac:dyDescent="0.25"/>
  <cols>
    <col min="1" max="1" width="3.85546875" customWidth="1"/>
    <col min="2" max="2" width="26" customWidth="1"/>
    <col min="3" max="3" width="22.140625" customWidth="1"/>
    <col min="4" max="4" width="19.7109375" customWidth="1"/>
    <col min="5" max="5" width="17.7109375" customWidth="1"/>
    <col min="6" max="6" width="16.85546875" customWidth="1"/>
    <col min="7" max="7" width="19.140625" customWidth="1"/>
    <col min="8" max="8" width="20.28515625" customWidth="1"/>
    <col min="9" max="9" width="13.42578125" customWidth="1"/>
    <col min="13" max="13" width="10.85546875" customWidth="1"/>
  </cols>
  <sheetData>
    <row r="1" spans="1:9" ht="15.75" x14ac:dyDescent="0.25">
      <c r="H1" s="30" t="s">
        <v>114</v>
      </c>
    </row>
    <row r="2" spans="1:9" ht="15.75" x14ac:dyDescent="0.25">
      <c r="B2" s="9"/>
      <c r="C2" s="9"/>
      <c r="D2" s="29" t="str">
        <f>" Historical Financial Statement-"&amp;'Data Sheet '!B1</f>
        <v xml:space="preserve"> Historical Financial Statement-NESTLE INDIA LTD</v>
      </c>
      <c r="E2" s="9"/>
      <c r="F2" s="9"/>
      <c r="G2" s="9"/>
      <c r="H2" s="9"/>
      <c r="I2" s="9"/>
    </row>
    <row r="3" spans="1:9" x14ac:dyDescent="0.25">
      <c r="B3" s="8" t="s">
        <v>54</v>
      </c>
      <c r="C3" s="9">
        <f>'Data Sheet '!B16</f>
        <v>44561</v>
      </c>
      <c r="D3" s="9">
        <f>'Data Sheet '!C16</f>
        <v>44926</v>
      </c>
      <c r="E3" s="9">
        <f>'Data Sheet '!D16</f>
        <v>45291</v>
      </c>
      <c r="F3" s="9">
        <f>'Data Sheet '!E16</f>
        <v>45382</v>
      </c>
      <c r="G3" s="9">
        <f>'Data Sheet '!F16</f>
        <v>45747</v>
      </c>
      <c r="H3" s="9">
        <f>'Data Sheet '!G16</f>
        <v>46112</v>
      </c>
      <c r="I3" s="10" t="s">
        <v>55</v>
      </c>
    </row>
    <row r="4" spans="1:9" ht="15.75" x14ac:dyDescent="0.25">
      <c r="A4" s="25"/>
    </row>
    <row r="5" spans="1:9" x14ac:dyDescent="0.25">
      <c r="A5" t="s">
        <v>57</v>
      </c>
      <c r="B5" s="11" t="s">
        <v>56</v>
      </c>
      <c r="C5" s="12"/>
      <c r="D5" s="12"/>
      <c r="E5" s="12"/>
      <c r="F5" s="12"/>
      <c r="G5" s="12"/>
      <c r="H5" s="12"/>
      <c r="I5" s="12"/>
    </row>
    <row r="6" spans="1:9" x14ac:dyDescent="0.25">
      <c r="B6" s="13" t="s">
        <v>12</v>
      </c>
      <c r="C6" s="26">
        <f>IFERROR('Data Sheet '!B17,0)</f>
        <v>14740.59</v>
      </c>
      <c r="D6" s="26">
        <f>IFERROR('Data Sheet '!C17,0)</f>
        <v>16896.96</v>
      </c>
      <c r="E6" s="26">
        <f>IFERROR('Data Sheet '!D17,0)</f>
        <v>19126.3</v>
      </c>
      <c r="F6" s="26">
        <f>IFERROR('Data Sheet '!E17,0)</f>
        <v>24393.89</v>
      </c>
      <c r="G6" s="26">
        <f>IFERROR('Data Sheet '!F17,0)</f>
        <v>20201.560000000001</v>
      </c>
      <c r="H6" s="26">
        <f>IFERROR('Data Sheet '!G17,0)</f>
        <v>23154.6</v>
      </c>
      <c r="I6" s="26">
        <f>IFERROR(SUM('Data Sheet '!H42:K42),0)</f>
        <v>23154.600000000002</v>
      </c>
    </row>
    <row r="7" spans="1:9" x14ac:dyDescent="0.25">
      <c r="B7" s="14" t="s">
        <v>58</v>
      </c>
      <c r="D7" s="14">
        <f>D6/C6-1</f>
        <v>0.14628790299438488</v>
      </c>
      <c r="E7" s="14">
        <f t="shared" ref="E7:I7" si="0">E6/D6-1</f>
        <v>0.13193734257523237</v>
      </c>
      <c r="F7" s="14">
        <f t="shared" si="0"/>
        <v>0.27541082174806419</v>
      </c>
      <c r="G7" s="14">
        <f t="shared" si="0"/>
        <v>-0.1718598386727167</v>
      </c>
      <c r="H7" s="14">
        <f t="shared" si="0"/>
        <v>0.14617880995329058</v>
      </c>
      <c r="I7" s="14">
        <f t="shared" si="0"/>
        <v>0</v>
      </c>
    </row>
    <row r="9" spans="1:9" x14ac:dyDescent="0.25">
      <c r="B9" s="13" t="s">
        <v>59</v>
      </c>
      <c r="C9" s="26">
        <f>IFERROR(SUM('Data Sheet '!B18,'Data Sheet '!B20,,'Data Sheet '!B21,'Data Sheet '!B22)-1*'Data Sheet '!B19,0)</f>
        <v>8521.1500000000015</v>
      </c>
      <c r="D9" s="26">
        <f>IFERROR(SUM('Data Sheet '!C18,'Data Sheet '!C20,,'Data Sheet '!C21,'Data Sheet '!C22)-1*'Data Sheet '!C19,0)</f>
        <v>10221.700000000001</v>
      </c>
      <c r="E9" s="26">
        <f>IFERROR(SUM('Data Sheet '!D18,'Data Sheet '!D20,,'Data Sheet '!D21,'Data Sheet '!D22)-1*'Data Sheet '!D19,0)</f>
        <v>10281.89</v>
      </c>
      <c r="F9" s="26">
        <f>IFERROR(SUM('Data Sheet '!E18,'Data Sheet '!E20,,'Data Sheet '!E21,'Data Sheet '!E22)-1*'Data Sheet '!E19,0)</f>
        <v>14101.72</v>
      </c>
      <c r="G9" s="26">
        <f>IFERROR(SUM('Data Sheet '!F18,'Data Sheet '!F20,,'Data Sheet '!F21,'Data Sheet '!F22)-1*'Data Sheet '!F19,0)</f>
        <v>11692.86</v>
      </c>
      <c r="H9" s="26">
        <f>IFERROR(SUM('Data Sheet '!G18,'Data Sheet '!G20,,'Data Sheet '!G21,'Data Sheet '!G22)-1*'Data Sheet '!G19,0)</f>
        <v>13627.64</v>
      </c>
      <c r="I9" s="26">
        <f>IFERROR(SUM('Data Sheet '!H43:K43),0)</f>
        <v>17845.150000000001</v>
      </c>
    </row>
    <row r="10" spans="1:9" x14ac:dyDescent="0.25">
      <c r="B10" s="14" t="s">
        <v>60</v>
      </c>
      <c r="C10" s="14">
        <f>C9/C6</f>
        <v>0.5780738762831068</v>
      </c>
      <c r="D10" s="14">
        <f t="shared" ref="D10:I10" si="1">D9/D6</f>
        <v>0.60494313770050956</v>
      </c>
      <c r="E10" s="14">
        <f t="shared" si="1"/>
        <v>0.53757862210673257</v>
      </c>
      <c r="F10" s="14">
        <f t="shared" si="1"/>
        <v>0.57808410220756101</v>
      </c>
      <c r="G10" s="14">
        <f t="shared" si="1"/>
        <v>0.57880975528622536</v>
      </c>
      <c r="H10" s="14">
        <f t="shared" si="1"/>
        <v>0.58855000734195362</v>
      </c>
      <c r="I10" s="14">
        <f t="shared" si="1"/>
        <v>0.77069567170238307</v>
      </c>
    </row>
    <row r="12" spans="1:9" x14ac:dyDescent="0.25">
      <c r="B12" s="18" t="s">
        <v>61</v>
      </c>
      <c r="C12" s="27">
        <f>C6-C9</f>
        <v>6219.4399999999987</v>
      </c>
      <c r="D12" s="27">
        <f t="shared" ref="D12:I12" si="2">D6-D9</f>
        <v>6675.2599999999984</v>
      </c>
      <c r="E12" s="27">
        <f t="shared" si="2"/>
        <v>8844.41</v>
      </c>
      <c r="F12" s="27">
        <f t="shared" si="2"/>
        <v>10292.17</v>
      </c>
      <c r="G12" s="27">
        <f t="shared" si="2"/>
        <v>8508.7000000000007</v>
      </c>
      <c r="H12" s="27">
        <f t="shared" si="2"/>
        <v>9526.9599999999991</v>
      </c>
      <c r="I12" s="27">
        <f t="shared" si="2"/>
        <v>5309.4500000000007</v>
      </c>
    </row>
    <row r="13" spans="1:9" x14ac:dyDescent="0.25">
      <c r="B13" s="14" t="s">
        <v>62</v>
      </c>
      <c r="C13" s="14">
        <f t="shared" ref="C13:I13" si="3">C12/C9</f>
        <v>0.72988270362568408</v>
      </c>
      <c r="D13" s="14">
        <f t="shared" si="3"/>
        <v>0.65304792744846729</v>
      </c>
      <c r="E13" s="14">
        <f t="shared" si="3"/>
        <v>0.86019301898775424</v>
      </c>
      <c r="F13" s="14">
        <f t="shared" si="3"/>
        <v>0.72985210314770121</v>
      </c>
      <c r="G13" s="14">
        <f t="shared" si="3"/>
        <v>0.72768338969251323</v>
      </c>
      <c r="H13" s="14">
        <f t="shared" si="3"/>
        <v>0.69909096512675706</v>
      </c>
      <c r="I13" s="14">
        <f t="shared" si="3"/>
        <v>0.29752902049016122</v>
      </c>
    </row>
    <row r="14" spans="1:9" x14ac:dyDescent="0.25">
      <c r="B14" s="13"/>
    </row>
    <row r="15" spans="1:9" x14ac:dyDescent="0.25">
      <c r="B15" s="13" t="s">
        <v>63</v>
      </c>
      <c r="C15" s="26">
        <f>IFERROR(SUM('Data Sheet '!B23:B24),0)</f>
        <v>2657.04</v>
      </c>
      <c r="D15" s="26">
        <f>IFERROR(SUM('Data Sheet '!C23:C24),0)</f>
        <v>2968.9700000000003</v>
      </c>
      <c r="E15" s="26">
        <f>IFERROR(SUM('Data Sheet '!D23:D24),0)</f>
        <v>4373.42</v>
      </c>
      <c r="F15" s="26">
        <f>IFERROR(SUM('Data Sheet '!E23:E24),0)</f>
        <v>4449.05</v>
      </c>
      <c r="G15" s="26">
        <f>IFERROR(SUM('Data Sheet '!F23:F24),0)</f>
        <v>3737.37</v>
      </c>
      <c r="H15" s="26">
        <f>IFERROR(SUM('Data Sheet '!G23:G24),0)</f>
        <v>4220</v>
      </c>
      <c r="I15" s="26">
        <f>IFERROR(SUM('Data Sheet '!H23:H24),0)</f>
        <v>0</v>
      </c>
    </row>
    <row r="16" spans="1:9" x14ac:dyDescent="0.25">
      <c r="B16" s="14" t="s">
        <v>64</v>
      </c>
      <c r="C16" s="14">
        <f>C15/C6</f>
        <v>0.18025330058023456</v>
      </c>
      <c r="D16" s="14">
        <f t="shared" ref="D16:I16" si="4">D15/D6</f>
        <v>0.17571030528568454</v>
      </c>
      <c r="E16" s="14">
        <f t="shared" si="4"/>
        <v>0.22866001265273472</v>
      </c>
      <c r="F16" s="14">
        <f t="shared" si="4"/>
        <v>0.18238378544791339</v>
      </c>
      <c r="G16" s="14">
        <f t="shared" si="4"/>
        <v>0.18500402939178953</v>
      </c>
      <c r="H16" s="14">
        <f t="shared" si="4"/>
        <v>0.18225320238743059</v>
      </c>
      <c r="I16" s="14">
        <f t="shared" si="4"/>
        <v>0</v>
      </c>
    </row>
    <row r="18" spans="2:9" x14ac:dyDescent="0.25">
      <c r="B18" s="18" t="s">
        <v>65</v>
      </c>
      <c r="C18" s="27">
        <f>C12-C15</f>
        <v>3562.3999999999987</v>
      </c>
      <c r="D18" s="27">
        <f t="shared" ref="D18:I18" si="5">D12-D15</f>
        <v>3706.2899999999981</v>
      </c>
      <c r="E18" s="27">
        <f t="shared" si="5"/>
        <v>4470.99</v>
      </c>
      <c r="F18" s="27">
        <f t="shared" si="5"/>
        <v>5843.12</v>
      </c>
      <c r="G18" s="27">
        <f t="shared" si="5"/>
        <v>4771.3300000000008</v>
      </c>
      <c r="H18" s="27">
        <f t="shared" si="5"/>
        <v>5306.9599999999991</v>
      </c>
      <c r="I18" s="27">
        <f t="shared" si="5"/>
        <v>5309.4500000000007</v>
      </c>
    </row>
    <row r="19" spans="2:9" x14ac:dyDescent="0.25">
      <c r="B19" s="14" t="s">
        <v>66</v>
      </c>
      <c r="C19" s="14">
        <f>C18/C6</f>
        <v>0.24167282313665861</v>
      </c>
      <c r="D19" s="14">
        <f t="shared" ref="D19:I19" si="6">D18/D6</f>
        <v>0.21934655701380593</v>
      </c>
      <c r="E19" s="14">
        <f t="shared" si="6"/>
        <v>0.23376136524053268</v>
      </c>
      <c r="F19" s="14">
        <f t="shared" si="6"/>
        <v>0.23953211234452562</v>
      </c>
      <c r="G19" s="14">
        <f t="shared" si="6"/>
        <v>0.23618621532198505</v>
      </c>
      <c r="H19" s="14">
        <f t="shared" si="6"/>
        <v>0.22919679027061576</v>
      </c>
      <c r="I19" s="14">
        <f t="shared" si="6"/>
        <v>0.22930432829761691</v>
      </c>
    </row>
    <row r="21" spans="2:9" x14ac:dyDescent="0.25">
      <c r="B21" s="13" t="s">
        <v>22</v>
      </c>
      <c r="C21" s="26">
        <f>IFERROR('Data Sheet '!B27,0)</f>
        <v>201.68</v>
      </c>
      <c r="D21" s="26">
        <f>IFERROR('Data Sheet '!C27,0)</f>
        <v>154.57</v>
      </c>
      <c r="E21" s="26">
        <f>IFERROR('Data Sheet '!D27,0)</f>
        <v>119.29</v>
      </c>
      <c r="F21" s="26">
        <f>IFERROR('Data Sheet '!E27,0)</f>
        <v>145.49</v>
      </c>
      <c r="G21" s="26">
        <f>IFERROR('Data Sheet '!F27,0)</f>
        <v>136</v>
      </c>
      <c r="H21" s="26">
        <f>IFERROR('Data Sheet '!G27,0)</f>
        <v>158.31</v>
      </c>
      <c r="I21" s="26">
        <f>IFERROR(SUM('Data Sheet '!H46:K46),0)</f>
        <v>158.31</v>
      </c>
    </row>
    <row r="22" spans="2:9" x14ac:dyDescent="0.25">
      <c r="B22" s="28" t="s">
        <v>67</v>
      </c>
      <c r="C22" s="14">
        <f>C21/C6</f>
        <v>1.3681948958623773E-2</v>
      </c>
      <c r="D22" s="14">
        <f t="shared" ref="D22:I22" si="7">D21/D6</f>
        <v>9.1477993674601819E-3</v>
      </c>
      <c r="E22" s="14">
        <f t="shared" si="7"/>
        <v>6.2369616705792554E-3</v>
      </c>
      <c r="F22" s="14">
        <f t="shared" si="7"/>
        <v>5.9641984119793937E-3</v>
      </c>
      <c r="G22" s="14">
        <f t="shared" si="7"/>
        <v>6.732153358453505E-3</v>
      </c>
      <c r="H22" s="14">
        <f t="shared" si="7"/>
        <v>6.8370863672877098E-3</v>
      </c>
      <c r="I22" s="14">
        <f t="shared" si="7"/>
        <v>6.837086367287709E-3</v>
      </c>
    </row>
    <row r="23" spans="2:9" x14ac:dyDescent="0.25">
      <c r="B23" s="13"/>
    </row>
    <row r="24" spans="2:9" x14ac:dyDescent="0.25">
      <c r="B24" s="13" t="s">
        <v>21</v>
      </c>
      <c r="C24" s="26">
        <f>IFERROR('Data Sheet '!B26,0)</f>
        <v>391.02</v>
      </c>
      <c r="D24" s="26">
        <f>IFERROR('Data Sheet '!C26,0)</f>
        <v>403.01</v>
      </c>
      <c r="E24" s="26">
        <f>IFERROR('Data Sheet '!D26,0)</f>
        <v>428.91</v>
      </c>
      <c r="F24" s="26">
        <f>IFERROR('Data Sheet '!E26,0)</f>
        <v>567.75</v>
      </c>
      <c r="G24" s="26">
        <f>IFERROR('Data Sheet '!F26,0)</f>
        <v>539.91999999999996</v>
      </c>
      <c r="H24" s="26">
        <f>IFERROR('Data Sheet '!G26,0)</f>
        <v>699.23</v>
      </c>
      <c r="I24" s="26">
        <f>IFERROR(SUM('Data Sheet '!H45:K45),0)</f>
        <v>699.2299999999999</v>
      </c>
    </row>
    <row r="25" spans="2:9" x14ac:dyDescent="0.25">
      <c r="B25" s="14" t="s">
        <v>68</v>
      </c>
      <c r="C25" s="14">
        <f>C24/C9</f>
        <v>4.5888172371100135E-2</v>
      </c>
      <c r="D25" s="14">
        <f t="shared" ref="D25:I25" si="8">D24/D9</f>
        <v>3.9426905504955138E-2</v>
      </c>
      <c r="E25" s="14">
        <f t="shared" si="8"/>
        <v>4.1715093236749282E-2</v>
      </c>
      <c r="F25" s="14">
        <f t="shared" si="8"/>
        <v>4.026104617025441E-2</v>
      </c>
      <c r="G25" s="14">
        <f t="shared" si="8"/>
        <v>4.6175187251023271E-2</v>
      </c>
      <c r="H25" s="14">
        <f t="shared" si="8"/>
        <v>5.1309691186441679E-2</v>
      </c>
      <c r="I25" s="14">
        <f t="shared" si="8"/>
        <v>3.9183195434053499E-2</v>
      </c>
    </row>
    <row r="26" spans="2:9" x14ac:dyDescent="0.25">
      <c r="B26" s="15"/>
    </row>
    <row r="27" spans="2:9" x14ac:dyDescent="0.25">
      <c r="B27" s="16" t="s">
        <v>69</v>
      </c>
      <c r="C27" s="27">
        <f>C18-(C21+C24)</f>
        <v>2969.6999999999989</v>
      </c>
      <c r="D27" s="27">
        <f t="shared" ref="D27:I27" si="9">D18-(D21+D24)</f>
        <v>3148.7099999999982</v>
      </c>
      <c r="E27" s="27">
        <f t="shared" si="9"/>
        <v>3922.79</v>
      </c>
      <c r="F27" s="27">
        <f t="shared" si="9"/>
        <v>5129.88</v>
      </c>
      <c r="G27" s="27">
        <f t="shared" si="9"/>
        <v>4095.4100000000008</v>
      </c>
      <c r="H27" s="27">
        <f t="shared" si="9"/>
        <v>4449.4199999999992</v>
      </c>
      <c r="I27" s="27">
        <f t="shared" si="9"/>
        <v>4451.9100000000008</v>
      </c>
    </row>
    <row r="28" spans="2:9" x14ac:dyDescent="0.25">
      <c r="B28" s="17" t="s">
        <v>70</v>
      </c>
      <c r="C28" s="14">
        <f>C27/C6</f>
        <v>0.20146412049992565</v>
      </c>
      <c r="D28" s="14">
        <f t="shared" ref="D28:I28" si="10">D27/D6</f>
        <v>0.18634772172035671</v>
      </c>
      <c r="E28" s="14">
        <f t="shared" si="10"/>
        <v>0.20509926122668787</v>
      </c>
      <c r="F28" s="14">
        <f t="shared" si="10"/>
        <v>0.21029364320327756</v>
      </c>
      <c r="G28" s="14">
        <f t="shared" si="10"/>
        <v>0.20272741313047113</v>
      </c>
      <c r="H28" s="14">
        <f t="shared" si="10"/>
        <v>0.19216138477883443</v>
      </c>
      <c r="I28" s="14">
        <f t="shared" si="10"/>
        <v>0.19226892280583557</v>
      </c>
    </row>
    <row r="30" spans="2:9" x14ac:dyDescent="0.25">
      <c r="B30" s="13" t="s">
        <v>24</v>
      </c>
      <c r="C30" s="26">
        <f>IFERROR('Data Sheet '!B29,0)</f>
        <v>738.91</v>
      </c>
      <c r="D30" s="26">
        <f>IFERROR('Data Sheet '!C29,0)</f>
        <v>865.45</v>
      </c>
      <c r="E30" s="26">
        <f>IFERROR('Data Sheet '!D29,0)</f>
        <v>1039.6199999999999</v>
      </c>
      <c r="F30" s="26">
        <f>IFERROR('Data Sheet '!E29,0)</f>
        <v>1356.03</v>
      </c>
      <c r="G30" s="26">
        <f>IFERROR('Data Sheet '!F29,0)</f>
        <v>1132.97</v>
      </c>
      <c r="H30" s="26">
        <f>IFERROR('Data Sheet '!G29,0)</f>
        <v>1065.05</v>
      </c>
      <c r="I30" s="26">
        <f>IFERROR(SUM('Data Sheet '!H48:K48),0)</f>
        <v>1065.05</v>
      </c>
    </row>
    <row r="31" spans="2:9" x14ac:dyDescent="0.25">
      <c r="B31" s="14" t="s">
        <v>71</v>
      </c>
      <c r="C31" s="14">
        <f>C30/C27</f>
        <v>0.24881637875879725</v>
      </c>
      <c r="D31" s="14">
        <f t="shared" ref="D31:I31" si="11">D30/D27</f>
        <v>0.27485859288407016</v>
      </c>
      <c r="E31" s="14">
        <f t="shared" si="11"/>
        <v>0.26502055934679142</v>
      </c>
      <c r="F31" s="14">
        <f t="shared" si="11"/>
        <v>0.26433951671384126</v>
      </c>
      <c r="G31" s="14">
        <f t="shared" si="11"/>
        <v>0.27664385250805168</v>
      </c>
      <c r="H31" s="14">
        <f t="shared" si="11"/>
        <v>0.23936827721365933</v>
      </c>
      <c r="I31" s="14">
        <f t="shared" si="11"/>
        <v>0.23923439602327984</v>
      </c>
    </row>
    <row r="33" spans="1:9" x14ac:dyDescent="0.25">
      <c r="B33" s="18" t="s">
        <v>72</v>
      </c>
      <c r="C33" s="27">
        <f>C27-C30</f>
        <v>2230.7899999999991</v>
      </c>
      <c r="D33" s="27">
        <f t="shared" ref="D33:I33" si="12">D27-D30</f>
        <v>2283.2599999999984</v>
      </c>
      <c r="E33" s="27">
        <f t="shared" si="12"/>
        <v>2883.17</v>
      </c>
      <c r="F33" s="27">
        <f t="shared" si="12"/>
        <v>3773.8500000000004</v>
      </c>
      <c r="G33" s="27">
        <f t="shared" si="12"/>
        <v>2962.4400000000005</v>
      </c>
      <c r="H33" s="27">
        <f t="shared" si="12"/>
        <v>3384.369999999999</v>
      </c>
      <c r="I33" s="27">
        <f t="shared" si="12"/>
        <v>3386.8600000000006</v>
      </c>
    </row>
    <row r="34" spans="1:9" x14ac:dyDescent="0.25">
      <c r="B34" s="14" t="s">
        <v>73</v>
      </c>
      <c r="C34" s="14">
        <f>C33/C6</f>
        <v>0.15133654758730819</v>
      </c>
      <c r="D34" s="14">
        <f t="shared" ref="D34:I34" si="13">D33/D6</f>
        <v>0.13512844914114719</v>
      </c>
      <c r="E34" s="14">
        <f t="shared" si="13"/>
        <v>0.15074374029477736</v>
      </c>
      <c r="F34" s="14">
        <f t="shared" si="13"/>
        <v>0.1547047231909302</v>
      </c>
      <c r="G34" s="14">
        <f t="shared" si="13"/>
        <v>0.14664412055306622</v>
      </c>
      <c r="H34" s="14">
        <f t="shared" si="13"/>
        <v>0.14616404515733372</v>
      </c>
      <c r="I34" s="14">
        <f t="shared" si="13"/>
        <v>0.14627158318433486</v>
      </c>
    </row>
    <row r="36" spans="1:9" x14ac:dyDescent="0.25">
      <c r="B36" s="13" t="s">
        <v>43</v>
      </c>
      <c r="C36" s="26">
        <f>IFERROR('Data Sheet '!B93,0)</f>
        <v>192.8</v>
      </c>
      <c r="D36" s="26">
        <f>IFERROR('Data Sheet '!C93,0)</f>
        <v>192.8</v>
      </c>
      <c r="E36" s="26">
        <f>IFERROR('Data Sheet '!D93,0)</f>
        <v>192.8</v>
      </c>
      <c r="F36" s="26">
        <f>IFERROR('Data Sheet '!E93,0)</f>
        <v>192.83</v>
      </c>
      <c r="G36" s="26">
        <f>IFERROR('Data Sheet '!F93,0)</f>
        <v>192.83</v>
      </c>
      <c r="H36" s="26">
        <f>IFERROR('Data Sheet '!G93,0)</f>
        <v>192.83</v>
      </c>
      <c r="I36" s="26">
        <f>H36</f>
        <v>192.83</v>
      </c>
    </row>
    <row r="38" spans="1:9" x14ac:dyDescent="0.25">
      <c r="B38" s="13" t="s">
        <v>74</v>
      </c>
      <c r="C38" s="31">
        <f>C33/C36</f>
        <v>11.570487551867215</v>
      </c>
      <c r="D38" s="31">
        <f t="shared" ref="D38:I38" si="14">D33/D36</f>
        <v>11.842634854771775</v>
      </c>
      <c r="E38" s="31">
        <f t="shared" si="14"/>
        <v>14.954201244813277</v>
      </c>
      <c r="F38" s="31">
        <f t="shared" si="14"/>
        <v>19.570865529222633</v>
      </c>
      <c r="G38" s="31">
        <f t="shared" si="14"/>
        <v>15.362962194679254</v>
      </c>
      <c r="H38" s="31">
        <f t="shared" si="14"/>
        <v>17.551055333713627</v>
      </c>
      <c r="I38" s="31">
        <f t="shared" si="14"/>
        <v>17.563968262199868</v>
      </c>
    </row>
    <row r="39" spans="1:9" x14ac:dyDescent="0.25">
      <c r="B39" t="s">
        <v>75</v>
      </c>
      <c r="D39" s="14">
        <f>D38/C38-1</f>
        <v>2.3520815495855496E-2</v>
      </c>
      <c r="E39" s="14">
        <f t="shared" ref="E39:I39" si="15">E38/D38-1</f>
        <v>0.26274274502246864</v>
      </c>
      <c r="F39" s="14">
        <f t="shared" si="15"/>
        <v>0.30872021907626812</v>
      </c>
      <c r="G39" s="14">
        <f t="shared" si="15"/>
        <v>-0.21500854564966809</v>
      </c>
      <c r="H39" s="14">
        <f t="shared" si="15"/>
        <v>0.14242651327959321</v>
      </c>
      <c r="I39" s="14">
        <f t="shared" si="15"/>
        <v>7.3573515898139874E-4</v>
      </c>
    </row>
    <row r="41" spans="1:9" x14ac:dyDescent="0.25">
      <c r="B41" s="13" t="s">
        <v>76</v>
      </c>
      <c r="C41" s="31">
        <f>IFERROR('Data Sheet '!B31/'Data Sheet '!B93,0)</f>
        <v>10.00207468879668</v>
      </c>
      <c r="D41" s="31">
        <f>IFERROR('Data Sheet '!C31/'Data Sheet '!C93,0)</f>
        <v>11.002282157676348</v>
      </c>
      <c r="E41" s="31">
        <f>IFERROR('Data Sheet '!D31/'Data Sheet '!D93,0)</f>
        <v>8.7018153526970945</v>
      </c>
      <c r="F41" s="31">
        <f>IFERROR('Data Sheet '!E31/'Data Sheet '!E93,0)</f>
        <v>16.100814188663588</v>
      </c>
      <c r="G41" s="31">
        <f>IFERROR('Data Sheet '!F31/'Data Sheet '!F93,0)</f>
        <v>13.500700098532386</v>
      </c>
      <c r="H41" s="31">
        <f>IFERROR('Data Sheet '!G31/'Data Sheet '!G93,0)</f>
        <v>12</v>
      </c>
      <c r="I41" s="31">
        <f>IFERROR('Data Sheet '!H31/'Data Sheet '!H93,0)</f>
        <v>0</v>
      </c>
    </row>
    <row r="42" spans="1:9" x14ac:dyDescent="0.25">
      <c r="B42" t="s">
        <v>77</v>
      </c>
      <c r="C42" s="14">
        <f>C41/C38</f>
        <v>0.86444712411298275</v>
      </c>
      <c r="D42" s="14">
        <f t="shared" ref="D42:I42" si="16">D41/D38</f>
        <v>0.9290400567609477</v>
      </c>
      <c r="E42" s="14">
        <f t="shared" si="16"/>
        <v>0.58189770287565423</v>
      </c>
      <c r="F42" s="14">
        <f t="shared" si="16"/>
        <v>0.82269300581634119</v>
      </c>
      <c r="G42" s="14">
        <f t="shared" si="16"/>
        <v>0.87878235508567248</v>
      </c>
      <c r="H42" s="14">
        <f t="shared" si="16"/>
        <v>0.68371956966880121</v>
      </c>
      <c r="I42" s="14">
        <f t="shared" si="16"/>
        <v>0</v>
      </c>
    </row>
    <row r="44" spans="1:9" x14ac:dyDescent="0.25">
      <c r="B44" s="13" t="s">
        <v>78</v>
      </c>
      <c r="C44" s="14">
        <f>IFERROR(IF(C38&gt;C41,1-C42,0),0)</f>
        <v>0.13555287588701725</v>
      </c>
      <c r="D44" s="14">
        <f t="shared" ref="D44:H44" si="17">IFERROR(IF(D38&gt;D41,1-D42,0),0)</f>
        <v>7.0959943239052303E-2</v>
      </c>
      <c r="E44" s="14">
        <f t="shared" si="17"/>
        <v>0.41810229712434577</v>
      </c>
      <c r="F44" s="14">
        <f t="shared" si="17"/>
        <v>0.17730699418365881</v>
      </c>
      <c r="G44" s="14">
        <f t="shared" si="17"/>
        <v>0.12121764491432752</v>
      </c>
      <c r="H44" s="14">
        <f t="shared" si="17"/>
        <v>0.31628043033119879</v>
      </c>
      <c r="I44" s="14"/>
    </row>
    <row r="47" spans="1:9" x14ac:dyDescent="0.25">
      <c r="A47" t="s">
        <v>57</v>
      </c>
      <c r="B47" s="11" t="s">
        <v>79</v>
      </c>
      <c r="C47" s="4">
        <v>44561</v>
      </c>
      <c r="D47" s="4">
        <v>44926</v>
      </c>
      <c r="E47" s="4">
        <v>45291</v>
      </c>
      <c r="F47" s="4">
        <v>45382</v>
      </c>
      <c r="G47" s="4">
        <v>45747</v>
      </c>
      <c r="H47" s="4">
        <v>46112</v>
      </c>
      <c r="I47" s="11"/>
    </row>
    <row r="48" spans="1:9" x14ac:dyDescent="0.25">
      <c r="B48" s="20" t="s">
        <v>31</v>
      </c>
      <c r="C48" s="61">
        <f>IFERROR('Data Sheet '!B57,0)</f>
        <v>96.42</v>
      </c>
      <c r="D48" s="61">
        <f>IFERROR('Data Sheet '!C57,0)</f>
        <v>96.42</v>
      </c>
      <c r="E48" s="61">
        <f>IFERROR('Data Sheet '!D57,0)</f>
        <v>96.42</v>
      </c>
      <c r="F48" s="61">
        <f>IFERROR('Data Sheet '!E57,0)</f>
        <v>96.42</v>
      </c>
      <c r="G48" s="61">
        <f>IFERROR('Data Sheet '!F57,0)</f>
        <v>96.42</v>
      </c>
      <c r="H48" s="61">
        <f>IFERROR('Data Sheet '!G57,0)</f>
        <v>192.83</v>
      </c>
      <c r="I48" s="31"/>
    </row>
    <row r="49" spans="2:9" x14ac:dyDescent="0.25">
      <c r="B49" s="20" t="s">
        <v>32</v>
      </c>
      <c r="C49" s="61">
        <f>IFERROR('Data Sheet '!B58,0)</f>
        <v>1849.96</v>
      </c>
      <c r="D49" s="61">
        <f>IFERROR('Data Sheet '!C58,0)</f>
        <v>2362.75</v>
      </c>
      <c r="E49" s="61">
        <f>IFERROR('Data Sheet '!D58,0)</f>
        <v>2362.75</v>
      </c>
      <c r="F49" s="61">
        <f>IFERROR('Data Sheet '!E58,0)</f>
        <v>3244.47</v>
      </c>
      <c r="G49" s="61">
        <f>IFERROR('Data Sheet '!F58,0)</f>
        <v>4020.73</v>
      </c>
      <c r="H49" s="61">
        <f>IFERROR('Data Sheet '!G58,0)</f>
        <v>5116.41</v>
      </c>
      <c r="I49" s="31"/>
    </row>
    <row r="50" spans="2:9" x14ac:dyDescent="0.25">
      <c r="B50" s="20" t="s">
        <v>33</v>
      </c>
      <c r="C50" s="61">
        <f>IFERROR('Data Sheet '!B59,0)</f>
        <v>266.45999999999998</v>
      </c>
      <c r="D50" s="61">
        <f>IFERROR('Data Sheet '!C59,0)</f>
        <v>270.52</v>
      </c>
      <c r="E50" s="61">
        <f>IFERROR('Data Sheet '!D59,0)</f>
        <v>270.52</v>
      </c>
      <c r="F50" s="61">
        <f>IFERROR('Data Sheet '!E59,0)</f>
        <v>344.53</v>
      </c>
      <c r="G50" s="61">
        <f>IFERROR('Data Sheet '!F59,0)</f>
        <v>1166.8499999999999</v>
      </c>
      <c r="H50" s="61">
        <f>IFERROR('Data Sheet '!G59,0)</f>
        <v>444.16</v>
      </c>
      <c r="I50" s="31"/>
    </row>
    <row r="51" spans="2:9" x14ac:dyDescent="0.25">
      <c r="B51" s="20" t="s">
        <v>34</v>
      </c>
      <c r="C51" s="61">
        <f>IFERROR('Data Sheet '!B60,0)</f>
        <v>6021.29</v>
      </c>
      <c r="D51" s="61">
        <f>IFERROR('Data Sheet '!C60,0)</f>
        <v>6249.05</v>
      </c>
      <c r="E51" s="61">
        <f>IFERROR('Data Sheet '!D60,0)</f>
        <v>6249.05</v>
      </c>
      <c r="F51" s="61">
        <f>IFERROR('Data Sheet '!E60,0)</f>
        <v>6837.64</v>
      </c>
      <c r="G51" s="61">
        <f>IFERROR('Data Sheet '!F60,0)</f>
        <v>7039.89</v>
      </c>
      <c r="H51" s="61">
        <f>IFERROR('Data Sheet '!G60,0)</f>
        <v>7603.77</v>
      </c>
      <c r="I51" s="31"/>
    </row>
    <row r="52" spans="2:9" x14ac:dyDescent="0.25">
      <c r="B52" s="23" t="s">
        <v>80</v>
      </c>
      <c r="C52" s="27">
        <f>IFERROR('Data Sheet '!B61,0)</f>
        <v>8234.1299999999992</v>
      </c>
      <c r="D52" s="27">
        <f>IFERROR('Data Sheet '!C61,0)</f>
        <v>8978.74</v>
      </c>
      <c r="E52" s="27">
        <f>IFERROR('Data Sheet '!D61,0)</f>
        <v>8978.74</v>
      </c>
      <c r="F52" s="27">
        <f>IFERROR('Data Sheet '!E61,0)</f>
        <v>10523.06</v>
      </c>
      <c r="G52" s="27">
        <f>IFERROR('Data Sheet '!F61,0)</f>
        <v>12323.89</v>
      </c>
      <c r="H52" s="27">
        <f>IFERROR('Data Sheet '!G61,0)</f>
        <v>13357.17</v>
      </c>
    </row>
    <row r="53" spans="2:9" x14ac:dyDescent="0.25">
      <c r="B53" s="21"/>
    </row>
    <row r="54" spans="2:9" x14ac:dyDescent="0.25">
      <c r="B54" s="20" t="s">
        <v>81</v>
      </c>
      <c r="C54" s="61">
        <f>IFERROR('Data Sheet '!B62,0)</f>
        <v>2994.67</v>
      </c>
      <c r="D54" s="61">
        <f>IFERROR('Data Sheet '!C62,0)</f>
        <v>3043.7</v>
      </c>
      <c r="E54" s="61">
        <f>IFERROR('Data Sheet '!D62,0)</f>
        <v>3043.7</v>
      </c>
      <c r="F54" s="61">
        <f>IFERROR('Data Sheet '!E62,0)</f>
        <v>3460.25</v>
      </c>
      <c r="G54" s="61">
        <f>IFERROR('Data Sheet '!F62,0)</f>
        <v>5473.61</v>
      </c>
      <c r="H54" s="61">
        <f>IFERROR('Data Sheet '!G62,0)</f>
        <v>6290.42</v>
      </c>
    </row>
    <row r="55" spans="2:9" x14ac:dyDescent="0.25">
      <c r="B55" s="20" t="s">
        <v>37</v>
      </c>
      <c r="C55" s="61">
        <f>IFERROR('Data Sheet '!B63,0)</f>
        <v>246.23</v>
      </c>
      <c r="D55" s="61">
        <f>IFERROR('Data Sheet '!C63,0)</f>
        <v>358.36</v>
      </c>
      <c r="E55" s="61">
        <f>IFERROR('Data Sheet '!D63,0)</f>
        <v>358.36</v>
      </c>
      <c r="F55" s="61">
        <f>IFERROR('Data Sheet '!E63,0)</f>
        <v>1741.71</v>
      </c>
      <c r="G55" s="61">
        <f>IFERROR('Data Sheet '!F63,0)</f>
        <v>1172.56</v>
      </c>
      <c r="H55" s="61">
        <f>IFERROR('Data Sheet '!G63,0)</f>
        <v>506.98</v>
      </c>
    </row>
    <row r="56" spans="2:9" x14ac:dyDescent="0.25">
      <c r="B56" s="20" t="s">
        <v>38</v>
      </c>
      <c r="C56" s="61">
        <f>IFERROR('Data Sheet '!B64,0)</f>
        <v>773.98</v>
      </c>
      <c r="D56" s="61">
        <f>IFERROR('Data Sheet '!C64,0)</f>
        <v>777.54</v>
      </c>
      <c r="E56" s="61">
        <f>IFERROR('Data Sheet '!D64,0)</f>
        <v>777.54</v>
      </c>
      <c r="F56" s="61">
        <f>IFERROR('Data Sheet '!E64,0)</f>
        <v>463.87</v>
      </c>
      <c r="G56" s="61">
        <f>IFERROR('Data Sheet '!F64,0)</f>
        <v>705.6</v>
      </c>
      <c r="H56" s="61">
        <f>IFERROR('Data Sheet '!G64,0)</f>
        <v>705.6</v>
      </c>
    </row>
    <row r="57" spans="2:9" x14ac:dyDescent="0.25">
      <c r="B57" s="20" t="s">
        <v>39</v>
      </c>
      <c r="C57" s="61">
        <f>IFERROR('Data Sheet '!B65,0)</f>
        <v>4219.25</v>
      </c>
      <c r="D57" s="61">
        <f>IFERROR('Data Sheet '!C65,0)</f>
        <v>4799.1400000000003</v>
      </c>
      <c r="E57" s="61">
        <f>IFERROR('Data Sheet '!D65,0)</f>
        <v>4799.1400000000003</v>
      </c>
      <c r="F57" s="61">
        <f>IFERROR('Data Sheet '!E65,0)</f>
        <v>4857.2299999999996</v>
      </c>
      <c r="G57" s="61">
        <f>IFERROR('Data Sheet '!F65,0)</f>
        <v>4972.12</v>
      </c>
      <c r="H57" s="61">
        <f>IFERROR('Data Sheet '!G65,0)</f>
        <v>5854.17</v>
      </c>
    </row>
    <row r="58" spans="2:9" x14ac:dyDescent="0.25">
      <c r="B58" s="23" t="s">
        <v>82</v>
      </c>
      <c r="C58" s="27">
        <f>IFERROR('Data Sheet '!B66,0)</f>
        <v>8234.1299999999992</v>
      </c>
      <c r="D58" s="27">
        <f>IFERROR('Data Sheet '!C66,0)</f>
        <v>8978.74</v>
      </c>
      <c r="E58" s="27">
        <f>IFERROR('Data Sheet '!D66,0)</f>
        <v>8978.74</v>
      </c>
      <c r="F58" s="27">
        <f>IFERROR('Data Sheet '!E66,0)</f>
        <v>10523.06</v>
      </c>
      <c r="G58" s="27">
        <f>IFERROR('Data Sheet '!F66,0)</f>
        <v>12323.89</v>
      </c>
      <c r="H58" s="27">
        <f>IFERROR('Data Sheet '!G66,0)</f>
        <v>13357.17</v>
      </c>
    </row>
    <row r="59" spans="2:9" x14ac:dyDescent="0.25">
      <c r="C59" s="13"/>
      <c r="D59" s="13"/>
      <c r="E59" s="13"/>
      <c r="F59" s="13"/>
      <c r="G59" s="13"/>
      <c r="H59" s="13"/>
    </row>
    <row r="60" spans="2:9" x14ac:dyDescent="0.25">
      <c r="B60" s="20" t="s">
        <v>40</v>
      </c>
      <c r="C60" s="61">
        <f>IFERROR('Data Sheet '!B67,0)</f>
        <v>165.97</v>
      </c>
      <c r="D60" s="61">
        <f>IFERROR('Data Sheet '!C67,0)</f>
        <v>191.89</v>
      </c>
      <c r="E60" s="61">
        <f>IFERROR('Data Sheet '!D67,0)</f>
        <v>191.89</v>
      </c>
      <c r="F60" s="61">
        <f>IFERROR('Data Sheet '!E67,0)</f>
        <v>300.45999999999998</v>
      </c>
      <c r="G60" s="61">
        <f>IFERROR('Data Sheet '!F67,0)</f>
        <v>363.15</v>
      </c>
      <c r="H60" s="61">
        <f>IFERROR('Data Sheet '!G67,0)</f>
        <v>329.47</v>
      </c>
    </row>
    <row r="61" spans="2:9" x14ac:dyDescent="0.25">
      <c r="B61" s="20" t="s">
        <v>41</v>
      </c>
      <c r="C61" s="61">
        <f>IFERROR('Data Sheet '!B68,0)</f>
        <v>1592.65</v>
      </c>
      <c r="D61" s="61">
        <f>IFERROR('Data Sheet '!C68,0)</f>
        <v>1928.77</v>
      </c>
      <c r="E61" s="61">
        <f>IFERROR('Data Sheet '!D68,0)</f>
        <v>1928.77</v>
      </c>
      <c r="F61" s="61">
        <f>IFERROR('Data Sheet '!E68,0)</f>
        <v>2089.36</v>
      </c>
      <c r="G61" s="61">
        <f>IFERROR('Data Sheet '!F68,0)</f>
        <v>2850.14</v>
      </c>
      <c r="H61" s="61">
        <f>IFERROR('Data Sheet '!G68,0)</f>
        <v>2569.2199999999998</v>
      </c>
    </row>
    <row r="62" spans="2:9" x14ac:dyDescent="0.25">
      <c r="B62" s="20" t="s">
        <v>42</v>
      </c>
      <c r="C62" s="61">
        <f>IFERROR('Data Sheet '!B69,0)</f>
        <v>735.41</v>
      </c>
      <c r="D62" s="61">
        <f>IFERROR('Data Sheet '!C69,0)</f>
        <v>945.55</v>
      </c>
      <c r="E62" s="61">
        <f>IFERROR('Data Sheet '!D69,0)</f>
        <v>945.55</v>
      </c>
      <c r="F62" s="61">
        <f>IFERROR('Data Sheet '!E69,0)</f>
        <v>778.85</v>
      </c>
      <c r="G62" s="61">
        <f>IFERROR('Data Sheet '!F69,0)</f>
        <v>95.65</v>
      </c>
      <c r="H62" s="61">
        <f>IFERROR('Data Sheet '!G69,0)</f>
        <v>1340.87</v>
      </c>
    </row>
    <row r="63" spans="2:9" x14ac:dyDescent="0.25">
      <c r="B63" s="24" t="s">
        <v>83</v>
      </c>
      <c r="C63" s="27">
        <f>IFERROR(SUM(C60:C62),0)</f>
        <v>2494.0300000000002</v>
      </c>
      <c r="D63" s="27">
        <f t="shared" ref="D63:H63" si="18">IFERROR(SUM(D60:D62),0)</f>
        <v>3066.21</v>
      </c>
      <c r="E63" s="27">
        <f t="shared" si="18"/>
        <v>3066.21</v>
      </c>
      <c r="F63" s="27">
        <f t="shared" si="18"/>
        <v>3168.67</v>
      </c>
      <c r="G63" s="27">
        <f t="shared" si="18"/>
        <v>3308.94</v>
      </c>
      <c r="H63" s="27">
        <f t="shared" si="18"/>
        <v>4239.5599999999995</v>
      </c>
    </row>
    <row r="65" spans="1:9" x14ac:dyDescent="0.25">
      <c r="B65" s="24" t="s">
        <v>84</v>
      </c>
      <c r="C65" s="27">
        <f>C63+C58</f>
        <v>10728.16</v>
      </c>
      <c r="D65" s="27">
        <f t="shared" ref="D65:H65" si="19">D63+D58</f>
        <v>12044.95</v>
      </c>
      <c r="E65" s="27">
        <f t="shared" si="19"/>
        <v>12044.95</v>
      </c>
      <c r="F65" s="27">
        <f t="shared" si="19"/>
        <v>13691.73</v>
      </c>
      <c r="G65" s="27">
        <f t="shared" si="19"/>
        <v>15632.83</v>
      </c>
      <c r="H65" s="27">
        <f t="shared" si="19"/>
        <v>17596.73</v>
      </c>
    </row>
    <row r="66" spans="1:9" x14ac:dyDescent="0.25">
      <c r="C66" s="61">
        <f>C65-C52</f>
        <v>2494.0300000000007</v>
      </c>
      <c r="D66" s="61">
        <f t="shared" ref="D66:H66" si="20">D65-D52</f>
        <v>3066.2100000000009</v>
      </c>
      <c r="E66" s="61">
        <f t="shared" si="20"/>
        <v>3066.2100000000009</v>
      </c>
      <c r="F66" s="61">
        <f t="shared" si="20"/>
        <v>3168.67</v>
      </c>
      <c r="G66" s="61">
        <f t="shared" si="20"/>
        <v>3308.9400000000005</v>
      </c>
      <c r="H66" s="61">
        <f t="shared" si="20"/>
        <v>4239.5599999999995</v>
      </c>
    </row>
    <row r="69" spans="1:9" x14ac:dyDescent="0.25">
      <c r="A69" t="s">
        <v>57</v>
      </c>
      <c r="B69" s="11" t="s">
        <v>85</v>
      </c>
      <c r="C69" s="4">
        <v>44561</v>
      </c>
      <c r="D69" s="4">
        <v>44926</v>
      </c>
      <c r="E69" s="4">
        <v>45291</v>
      </c>
      <c r="F69" s="4">
        <v>45382</v>
      </c>
      <c r="G69" s="4">
        <v>45747</v>
      </c>
      <c r="H69" s="4">
        <v>46112</v>
      </c>
      <c r="I69" s="11"/>
    </row>
    <row r="70" spans="1:9" x14ac:dyDescent="0.25">
      <c r="B70" s="13" t="s">
        <v>86</v>
      </c>
      <c r="C70" s="31"/>
      <c r="D70" s="31"/>
      <c r="E70" s="31"/>
      <c r="F70" s="31"/>
      <c r="G70" s="31"/>
      <c r="H70" s="31"/>
    </row>
    <row r="71" spans="1:9" x14ac:dyDescent="0.25">
      <c r="B71" t="s">
        <v>87</v>
      </c>
      <c r="C71" s="62">
        <f>IFERROR('Cash flow'!C5,0)</f>
        <v>3136</v>
      </c>
      <c r="D71" s="62">
        <f>IFERROR('Cash flow'!D5,0)</f>
        <v>3609</v>
      </c>
      <c r="E71" s="62">
        <f>IFERROR('Cash flow'!E5,0)</f>
        <v>4388</v>
      </c>
      <c r="F71" s="62">
        <f>IFERROR('Cash flow'!F5,0)</f>
        <v>5722</v>
      </c>
      <c r="G71" s="62">
        <f>IFERROR('Cash flow'!G5,0)</f>
        <v>4672</v>
      </c>
      <c r="H71" s="62">
        <f>IFERROR('Cash flow'!H5,0)</f>
        <v>5326</v>
      </c>
    </row>
    <row r="72" spans="1:9" x14ac:dyDescent="0.25">
      <c r="B72" t="s">
        <v>40</v>
      </c>
      <c r="C72" s="62">
        <f>IFERROR('Cash flow'!C6,0)</f>
        <v>-2</v>
      </c>
      <c r="D72" s="62">
        <f>IFERROR('Cash flow'!D6,0)</f>
        <v>-28</v>
      </c>
      <c r="E72" s="62">
        <f>IFERROR('Cash flow'!E6,0)</f>
        <v>-11</v>
      </c>
      <c r="F72" s="62">
        <f>IFERROR('Cash flow'!F6,0)</f>
        <v>-109</v>
      </c>
      <c r="G72" s="62">
        <f>IFERROR('Cash flow'!G6,0)</f>
        <v>-70</v>
      </c>
      <c r="H72" s="62">
        <f>IFERROR('Cash flow'!H6,0)</f>
        <v>34</v>
      </c>
      <c r="I72" s="53">
        <f>IFERROR('Cash flow'!I6,0)</f>
        <v>0</v>
      </c>
    </row>
    <row r="73" spans="1:9" x14ac:dyDescent="0.25">
      <c r="B73" t="s">
        <v>41</v>
      </c>
      <c r="C73" s="62">
        <f>IFERROR('Cash flow'!C7,0)</f>
        <v>-169</v>
      </c>
      <c r="D73" s="62">
        <f>IFERROR('Cash flow'!D7,0)</f>
        <v>-336</v>
      </c>
      <c r="E73" s="62">
        <f>IFERROR('Cash flow'!E7,0)</f>
        <v>56</v>
      </c>
      <c r="F73" s="62">
        <f>IFERROR('Cash flow'!F7,0)</f>
        <v>-161</v>
      </c>
      <c r="G73" s="62">
        <f>IFERROR('Cash flow'!G7,0)</f>
        <v>-767</v>
      </c>
      <c r="H73" s="62">
        <f>IFERROR('Cash flow'!H7,0)</f>
        <v>281</v>
      </c>
    </row>
    <row r="74" spans="1:9" x14ac:dyDescent="0.25">
      <c r="B74" t="s">
        <v>88</v>
      </c>
      <c r="C74" s="62">
        <f>IFERROR('Cash flow'!C8,0)</f>
        <v>217</v>
      </c>
      <c r="D74" s="62">
        <f>IFERROR('Cash flow'!D8,0)</f>
        <v>178</v>
      </c>
      <c r="E74" s="62">
        <f>IFERROR('Cash flow'!E8,0)</f>
        <v>68</v>
      </c>
      <c r="F74" s="62">
        <f>IFERROR('Cash flow'!F8,0)</f>
        <v>310</v>
      </c>
      <c r="G74" s="62">
        <f>IFERROR('Cash flow'!G8,0)</f>
        <v>134</v>
      </c>
      <c r="H74" s="62">
        <f>IFERROR('Cash flow'!H8,0)</f>
        <v>588</v>
      </c>
    </row>
    <row r="75" spans="1:9" x14ac:dyDescent="0.25">
      <c r="B75" t="s">
        <v>89</v>
      </c>
      <c r="C75" s="62">
        <f>IFERROR('Cash flow'!C9,0)</f>
        <v>-40</v>
      </c>
      <c r="D75" s="62">
        <f>IFERROR('Cash flow'!D9,0)</f>
        <v>-30</v>
      </c>
      <c r="E75" s="62">
        <f>IFERROR('Cash flow'!E9,0)</f>
        <v>-30</v>
      </c>
      <c r="F75" s="62">
        <f>IFERROR('Cash flow'!F9,0)</f>
        <v>-21</v>
      </c>
      <c r="G75" s="62">
        <f>IFERROR('Cash flow'!G9,0)</f>
        <v>-199</v>
      </c>
      <c r="H75" s="62">
        <f>IFERROR('Cash flow'!H9,0)</f>
        <v>-73</v>
      </c>
    </row>
    <row r="76" spans="1:9" x14ac:dyDescent="0.25">
      <c r="B76" t="s">
        <v>90</v>
      </c>
      <c r="C76" s="62">
        <f>IFERROR('Cash flow'!C11,0)</f>
        <v>-179</v>
      </c>
      <c r="D76" s="62">
        <f>IFERROR('Cash flow'!D11,0)</f>
        <v>185</v>
      </c>
      <c r="E76" s="62">
        <f>IFERROR('Cash flow'!E11,0)</f>
        <v>-19</v>
      </c>
      <c r="F76" s="62">
        <f>IFERROR('Cash flow'!F11,0)</f>
        <v>-268</v>
      </c>
      <c r="G76" s="62">
        <f>IFERROR('Cash flow'!G11,0)</f>
        <v>155</v>
      </c>
      <c r="H76" s="62">
        <f>IFERROR('Cash flow'!H11,0)</f>
        <v>-37</v>
      </c>
    </row>
    <row r="77" spans="1:9" x14ac:dyDescent="0.25">
      <c r="B77" t="s">
        <v>91</v>
      </c>
      <c r="C77" s="62">
        <f>IFERROR('Cash flow'!C12,0)</f>
        <v>-172</v>
      </c>
      <c r="D77" s="62">
        <f>IFERROR('Cash flow'!D12,0)</f>
        <v>-30</v>
      </c>
      <c r="E77" s="62">
        <f>IFERROR('Cash flow'!E12,0)</f>
        <v>63</v>
      </c>
      <c r="F77" s="62">
        <f>IFERROR('Cash flow'!F12,0)</f>
        <v>-249</v>
      </c>
      <c r="G77" s="62">
        <f>IFERROR('Cash flow'!G12,0)</f>
        <v>-747</v>
      </c>
      <c r="H77" s="62">
        <f>IFERROR('Cash flow'!H12,0)</f>
        <v>793</v>
      </c>
    </row>
    <row r="78" spans="1:9" x14ac:dyDescent="0.25">
      <c r="B78" t="s">
        <v>92</v>
      </c>
      <c r="C78" s="66">
        <f>IFERROR('Cash flow'!C13,0)</f>
        <v>-729</v>
      </c>
      <c r="D78" s="66">
        <f>IFERROR('Cash flow'!D13,0)</f>
        <v>-841</v>
      </c>
      <c r="E78" s="66">
        <f>IFERROR('Cash flow'!E13,0)</f>
        <v>-1059</v>
      </c>
      <c r="F78" s="66">
        <f>IFERROR('Cash flow'!F13,0)</f>
        <v>-1299</v>
      </c>
      <c r="G78" s="66">
        <f>IFERROR('Cash flow'!G13,0)</f>
        <v>-990</v>
      </c>
      <c r="H78" s="66">
        <f>IFERROR('Cash flow'!H13,0)</f>
        <v>-1071</v>
      </c>
    </row>
    <row r="79" spans="1:9" x14ac:dyDescent="0.25">
      <c r="B79" s="22" t="s">
        <v>93</v>
      </c>
      <c r="C79" s="54">
        <f>SUM(C71:C78)</f>
        <v>2062</v>
      </c>
      <c r="D79" s="54">
        <f t="shared" ref="D79:H79" si="21">SUM(D71:D78)</f>
        <v>2707</v>
      </c>
      <c r="E79" s="54">
        <f t="shared" si="21"/>
        <v>3456</v>
      </c>
      <c r="F79" s="54">
        <f t="shared" si="21"/>
        <v>3925</v>
      </c>
      <c r="G79" s="54">
        <f t="shared" si="21"/>
        <v>2188</v>
      </c>
      <c r="H79" s="54">
        <f t="shared" si="21"/>
        <v>5841</v>
      </c>
    </row>
    <row r="81" spans="2:9" x14ac:dyDescent="0.25">
      <c r="B81" s="13" t="s">
        <v>94</v>
      </c>
    </row>
    <row r="82" spans="2:9" x14ac:dyDescent="0.25">
      <c r="B82" t="s">
        <v>95</v>
      </c>
      <c r="C82" s="62">
        <f>IFERROR('Cash flow'!C15,0)</f>
        <v>-735</v>
      </c>
      <c r="D82" s="62">
        <f>IFERROR('Cash flow'!D15,0)</f>
        <v>-550</v>
      </c>
      <c r="E82" s="62">
        <f>IFERROR('Cash flow'!E15,0)</f>
        <v>-1371</v>
      </c>
      <c r="F82" s="62">
        <f>IFERROR('Cash flow'!F15,0)</f>
        <v>-1883</v>
      </c>
      <c r="G82" s="62">
        <f>IFERROR('Cash flow'!G15,0)</f>
        <v>-2009</v>
      </c>
      <c r="H82" s="62">
        <f>IFERROR('Cash flow'!H15,0)</f>
        <v>-830</v>
      </c>
    </row>
    <row r="83" spans="2:9" x14ac:dyDescent="0.25">
      <c r="B83" t="s">
        <v>96</v>
      </c>
      <c r="C83" s="62">
        <f>IFERROR('Cash flow'!C16,0)</f>
        <v>4</v>
      </c>
      <c r="D83" s="62">
        <f>IFERROR('Cash flow'!D16,0)</f>
        <v>9</v>
      </c>
      <c r="E83" s="62">
        <f>IFERROR('Cash flow'!E16,0)</f>
        <v>7</v>
      </c>
      <c r="F83" s="62">
        <f>IFERROR('Cash flow'!F16,0)</f>
        <v>4</v>
      </c>
      <c r="G83" s="62">
        <f>IFERROR('Cash flow'!G16,0)</f>
        <v>4</v>
      </c>
      <c r="H83" s="62">
        <f>IFERROR('Cash flow'!H16,0)</f>
        <v>3</v>
      </c>
    </row>
    <row r="84" spans="2:9" x14ac:dyDescent="0.25">
      <c r="B84" t="s">
        <v>97</v>
      </c>
      <c r="C84" s="62">
        <f>IFERROR('Cash flow'!C17,0)</f>
        <v>0</v>
      </c>
      <c r="D84" s="62">
        <f>IFERROR('Cash flow'!D17,0)</f>
        <v>0</v>
      </c>
      <c r="E84" s="62">
        <f>IFERROR('Cash flow'!E17,0)</f>
        <v>0</v>
      </c>
      <c r="F84" s="62">
        <f>IFERROR('Cash flow'!F17,0)</f>
        <v>0</v>
      </c>
      <c r="G84" s="62">
        <f>IFERROR('Cash flow'!G17,0)</f>
        <v>0</v>
      </c>
      <c r="H84" s="62">
        <f>IFERROR('Cash flow'!H17,0)</f>
        <v>0</v>
      </c>
    </row>
    <row r="85" spans="2:9" x14ac:dyDescent="0.25">
      <c r="B85" t="s">
        <v>98</v>
      </c>
      <c r="C85" s="62">
        <f>IFERROR('Cash flow'!C18,0)</f>
        <v>0</v>
      </c>
      <c r="D85" s="62">
        <f>IFERROR('Cash flow'!D18,0)</f>
        <v>25</v>
      </c>
      <c r="E85" s="62">
        <f>IFERROR('Cash flow'!E18,0)</f>
        <v>312</v>
      </c>
      <c r="F85" s="62">
        <f>IFERROR('Cash flow'!F18,0)</f>
        <v>284</v>
      </c>
      <c r="G85" s="62">
        <f>IFERROR('Cash flow'!G18,0)</f>
        <v>424</v>
      </c>
      <c r="H85" s="62">
        <f>IFERROR('Cash flow'!H18,0)</f>
        <v>0</v>
      </c>
    </row>
    <row r="86" spans="2:9" x14ac:dyDescent="0.25">
      <c r="B86" t="s">
        <v>99</v>
      </c>
      <c r="C86" s="62">
        <f>IFERROR('Cash flow'!C19,0)</f>
        <v>125</v>
      </c>
      <c r="D86" s="62">
        <f>IFERROR('Cash flow'!D19,0)</f>
        <v>103</v>
      </c>
      <c r="E86" s="62">
        <f>IFERROR('Cash flow'!E19,0)</f>
        <v>0</v>
      </c>
      <c r="F86" s="62">
        <f>IFERROR('Cash flow'!F19,0)</f>
        <v>167</v>
      </c>
      <c r="G86" s="62">
        <f>IFERROR('Cash flow'!G19,0)</f>
        <v>76</v>
      </c>
      <c r="H86" s="62">
        <f>IFERROR('Cash flow'!H19,0)</f>
        <v>34</v>
      </c>
    </row>
    <row r="87" spans="2:9" x14ac:dyDescent="0.25">
      <c r="B87" t="s">
        <v>100</v>
      </c>
      <c r="C87" s="62">
        <f>IFERROR('Cash flow'!C20,0)</f>
        <v>0</v>
      </c>
      <c r="D87" s="62">
        <f>IFERROR('Cash flow'!D20,0)</f>
        <v>0</v>
      </c>
      <c r="E87" s="62">
        <f>IFERROR('Cash flow'!E20,0)</f>
        <v>0</v>
      </c>
      <c r="F87" s="62">
        <f>IFERROR('Cash flow'!F20,0)</f>
        <v>0</v>
      </c>
      <c r="G87" s="62">
        <f>IFERROR('Cash flow'!G20,0)</f>
        <v>0</v>
      </c>
      <c r="H87" s="62">
        <f>IFERROR('Cash flow'!H20,0)</f>
        <v>0</v>
      </c>
    </row>
    <row r="88" spans="2:9" x14ac:dyDescent="0.25">
      <c r="B88" t="s">
        <v>101</v>
      </c>
      <c r="C88" s="62">
        <f>IFERROR('Cash flow'!C21,0)</f>
        <v>0</v>
      </c>
      <c r="D88" s="62">
        <f>IFERROR('Cash flow'!D21,0)</f>
        <v>0</v>
      </c>
      <c r="E88" s="62">
        <f>IFERROR('Cash flow'!E21,0)</f>
        <v>0</v>
      </c>
      <c r="F88" s="62">
        <f>IFERROR('Cash flow'!F21,0)</f>
        <v>0</v>
      </c>
      <c r="G88" s="62">
        <f>IFERROR('Cash flow'!G21,0)</f>
        <v>-706</v>
      </c>
      <c r="H88" s="62">
        <f>IFERROR('Cash flow'!H21,0)</f>
        <v>0</v>
      </c>
    </row>
    <row r="89" spans="2:9" x14ac:dyDescent="0.25">
      <c r="B89" t="s">
        <v>102</v>
      </c>
      <c r="C89" s="62">
        <f>IFERROR('Cash flow'!C22,0)</f>
        <v>-1314</v>
      </c>
      <c r="D89" s="62">
        <f>IFERROR('Cash flow'!D22,0)</f>
        <v>20</v>
      </c>
      <c r="E89" s="62">
        <f>IFERROR('Cash flow'!E22,0)</f>
        <v>126</v>
      </c>
      <c r="F89" s="62">
        <f>IFERROR('Cash flow'!F22,0)</f>
        <v>190</v>
      </c>
      <c r="G89" s="62">
        <f>IFERROR('Cash flow'!G22,0)</f>
        <v>400</v>
      </c>
      <c r="H89" s="62">
        <f>IFERROR('Cash flow'!H22,0)</f>
        <v>168</v>
      </c>
    </row>
    <row r="90" spans="2:9" x14ac:dyDescent="0.25">
      <c r="B90" s="22" t="s">
        <v>103</v>
      </c>
      <c r="C90" s="55">
        <f>SUM(C82:C89)</f>
        <v>-1920</v>
      </c>
      <c r="D90" s="55">
        <f t="shared" ref="D90:H90" si="22">SUM(D82:D89)</f>
        <v>-393</v>
      </c>
      <c r="E90" s="55">
        <f t="shared" si="22"/>
        <v>-926</v>
      </c>
      <c r="F90" s="55">
        <f t="shared" si="22"/>
        <v>-1238</v>
      </c>
      <c r="G90" s="55">
        <f t="shared" si="22"/>
        <v>-1811</v>
      </c>
      <c r="H90" s="55">
        <f t="shared" si="22"/>
        <v>-625</v>
      </c>
    </row>
    <row r="91" spans="2:9" x14ac:dyDescent="0.25">
      <c r="C91" s="54"/>
      <c r="D91" s="54"/>
      <c r="E91" s="54"/>
      <c r="F91" s="54"/>
      <c r="G91" s="54"/>
      <c r="H91" s="54"/>
    </row>
    <row r="92" spans="2:9" x14ac:dyDescent="0.25">
      <c r="B92" s="13" t="s">
        <v>104</v>
      </c>
    </row>
    <row r="93" spans="2:9" x14ac:dyDescent="0.25">
      <c r="B93" t="s">
        <v>105</v>
      </c>
      <c r="C93" s="62">
        <f>IFERROR('Cash flow'!C24,0)</f>
        <v>24</v>
      </c>
      <c r="D93" s="62">
        <f>IFERROR('Cash flow'!D24,0)</f>
        <v>0</v>
      </c>
      <c r="E93" s="62">
        <f>IFERROR('Cash flow'!E24,0)</f>
        <v>0</v>
      </c>
      <c r="F93" s="62">
        <f>IFERROR('Cash flow'!F24,0)</f>
        <v>0</v>
      </c>
      <c r="G93" s="62">
        <f>IFERROR('Cash flow'!G24,0)</f>
        <v>726</v>
      </c>
      <c r="H93" s="62">
        <f>IFERROR('Cash flow'!H24,0)</f>
        <v>0</v>
      </c>
      <c r="I93" s="62"/>
    </row>
    <row r="94" spans="2:9" x14ac:dyDescent="0.25">
      <c r="B94" t="s">
        <v>107</v>
      </c>
      <c r="C94" s="62">
        <f>IFERROR('Cash flow'!C25,0)</f>
        <v>-24</v>
      </c>
      <c r="D94" s="62">
        <f>IFERROR('Cash flow'!D25,0)</f>
        <v>0</v>
      </c>
      <c r="E94" s="62">
        <f>IFERROR('Cash flow'!E25,0)</f>
        <v>0</v>
      </c>
      <c r="F94" s="62">
        <f>IFERROR('Cash flow'!F25,0)</f>
        <v>0</v>
      </c>
      <c r="G94" s="62">
        <f>IFERROR('Cash flow'!G25,0)</f>
        <v>0</v>
      </c>
      <c r="H94" s="62">
        <f>IFERROR('Cash flow'!H25,0)</f>
        <v>-726</v>
      </c>
      <c r="I94" s="62"/>
    </row>
    <row r="95" spans="2:9" x14ac:dyDescent="0.25">
      <c r="B95" s="38" t="s">
        <v>120</v>
      </c>
      <c r="C95" s="62">
        <f>IFERROR('Cash flow'!C26,0)</f>
        <v>0</v>
      </c>
      <c r="D95" s="62">
        <f>IFERROR('Cash flow'!D26,0)</f>
        <v>0</v>
      </c>
      <c r="E95" s="62">
        <f>IFERROR('Cash flow'!E26,0)</f>
        <v>0</v>
      </c>
      <c r="F95" s="62">
        <f>IFERROR('Cash flow'!F26,0)</f>
        <v>0</v>
      </c>
      <c r="G95" s="62">
        <f>IFERROR('Cash flow'!G26,0)</f>
        <v>0</v>
      </c>
      <c r="H95" s="62">
        <f>IFERROR('Cash flow'!H26,0)</f>
        <v>0</v>
      </c>
      <c r="I95" s="62"/>
    </row>
    <row r="96" spans="2:9" x14ac:dyDescent="0.25">
      <c r="B96" t="s">
        <v>108</v>
      </c>
      <c r="C96" s="62">
        <f>IFERROR('Cash flow'!C27,0)</f>
        <v>-9</v>
      </c>
      <c r="D96" s="62">
        <f>IFERROR('Cash flow'!D27,0)</f>
        <v>-18</v>
      </c>
      <c r="E96" s="62">
        <f>IFERROR('Cash flow'!E27,0)</f>
        <v>-20</v>
      </c>
      <c r="F96" s="62">
        <f>IFERROR('Cash flow'!F27,0)</f>
        <v>-26</v>
      </c>
      <c r="G96" s="62">
        <f>IFERROR('Cash flow'!G27,0)</f>
        <v>-34</v>
      </c>
      <c r="H96" s="62">
        <f>IFERROR('Cash flow'!H27,0)</f>
        <v>-50</v>
      </c>
      <c r="I96" s="62"/>
    </row>
    <row r="97" spans="2:10" x14ac:dyDescent="0.25">
      <c r="B97" t="s">
        <v>109</v>
      </c>
      <c r="C97" s="62">
        <f>IFERROR('Cash flow'!C28,0)</f>
        <v>-1928</v>
      </c>
      <c r="D97" s="62">
        <f>IFERROR('Cash flow'!D28,0)</f>
        <v>-2025</v>
      </c>
      <c r="E97" s="62">
        <f>IFERROR('Cash flow'!E28,0)</f>
        <v>-2333</v>
      </c>
      <c r="F97" s="62">
        <f>IFERROR('Cash flow'!F28,0)</f>
        <v>-3008</v>
      </c>
      <c r="G97" s="62">
        <f>IFERROR('Cash flow'!G28,0)</f>
        <v>-2459</v>
      </c>
      <c r="H97" s="62">
        <f>IFERROR('Cash flow'!H28,0)</f>
        <v>-2314</v>
      </c>
      <c r="I97" s="62"/>
    </row>
    <row r="98" spans="2:10" x14ac:dyDescent="0.25">
      <c r="B98" t="s">
        <v>110</v>
      </c>
      <c r="C98" s="62">
        <f>IFERROR('Cash flow'!C29,0)</f>
        <v>-79</v>
      </c>
      <c r="D98" s="62">
        <f>IFERROR('Cash flow'!D29,0)</f>
        <v>-73</v>
      </c>
      <c r="E98" s="62">
        <f>IFERROR('Cash flow'!E29,0)</f>
        <v>-166</v>
      </c>
      <c r="F98" s="62">
        <f>IFERROR('Cash flow'!F29,0)</f>
        <v>-100</v>
      </c>
      <c r="G98" s="62">
        <f>IFERROR('Cash flow'!G29,0)</f>
        <v>-76</v>
      </c>
      <c r="H98" s="62">
        <f>IFERROR('Cash flow'!H29,0)</f>
        <v>-86</v>
      </c>
      <c r="I98" s="62"/>
    </row>
    <row r="99" spans="2:10" x14ac:dyDescent="0.25">
      <c r="B99" t="s">
        <v>111</v>
      </c>
      <c r="C99" s="62">
        <f>IFERROR('Cash flow'!C30,0)</f>
        <v>-3</v>
      </c>
      <c r="D99" s="62">
        <f>IFERROR('Cash flow'!D30,0)</f>
        <v>-7</v>
      </c>
      <c r="E99" s="62">
        <f>IFERROR('Cash flow'!E30,0)</f>
        <v>83</v>
      </c>
      <c r="F99" s="62">
        <f>IFERROR('Cash flow'!F30,0)</f>
        <v>-1</v>
      </c>
      <c r="G99" s="62">
        <f>IFERROR('Cash flow'!G30,0)</f>
        <v>-4</v>
      </c>
      <c r="H99" s="62">
        <f>IFERROR('Cash flow'!H30,0)</f>
        <v>-3</v>
      </c>
      <c r="I99" s="62"/>
    </row>
    <row r="100" spans="2:10" x14ac:dyDescent="0.25">
      <c r="B100" s="22" t="s">
        <v>112</v>
      </c>
      <c r="C100" s="55">
        <f>SUM(C92:C99)</f>
        <v>-2019</v>
      </c>
      <c r="D100" s="55">
        <f t="shared" ref="D100:H100" si="23">SUM(D92:D99)</f>
        <v>-2123</v>
      </c>
      <c r="E100" s="55">
        <f t="shared" si="23"/>
        <v>-2436</v>
      </c>
      <c r="F100" s="55">
        <f t="shared" si="23"/>
        <v>-3135</v>
      </c>
      <c r="G100" s="55">
        <f t="shared" si="23"/>
        <v>-1847</v>
      </c>
      <c r="H100" s="55">
        <f t="shared" si="23"/>
        <v>-3179</v>
      </c>
      <c r="I100" s="54"/>
    </row>
    <row r="101" spans="2:10" x14ac:dyDescent="0.25">
      <c r="C101" s="54"/>
      <c r="D101" s="54"/>
      <c r="E101" s="54"/>
      <c r="F101" s="54"/>
      <c r="G101" s="54"/>
      <c r="H101" s="54"/>
      <c r="I101" s="54"/>
    </row>
    <row r="102" spans="2:10" x14ac:dyDescent="0.25">
      <c r="B102" s="13" t="s">
        <v>113</v>
      </c>
      <c r="C102" s="54">
        <f>IFERROR(SUM(C100,C90,C79),0)</f>
        <v>-1877</v>
      </c>
      <c r="D102" s="54">
        <f t="shared" ref="D102:J102" si="24">IFERROR(SUM(D100,D90,D79),0)</f>
        <v>191</v>
      </c>
      <c r="E102" s="54">
        <f t="shared" si="24"/>
        <v>94</v>
      </c>
      <c r="F102" s="54">
        <f t="shared" si="24"/>
        <v>-448</v>
      </c>
      <c r="G102" s="54">
        <f t="shared" si="24"/>
        <v>-1470</v>
      </c>
      <c r="H102" s="54">
        <f t="shared" si="24"/>
        <v>2037</v>
      </c>
      <c r="I102" s="54">
        <f t="shared" si="24"/>
        <v>0</v>
      </c>
      <c r="J102" s="54">
        <f t="shared" si="24"/>
        <v>0</v>
      </c>
    </row>
    <row r="103" spans="2:10" x14ac:dyDescent="0.25">
      <c r="C103" s="54"/>
      <c r="D103" s="54"/>
    </row>
    <row r="104" spans="2:10" x14ac:dyDescent="0.25">
      <c r="C104" s="54"/>
      <c r="D104" s="54"/>
    </row>
    <row r="105" spans="2:10" x14ac:dyDescent="0.25">
      <c r="C105" s="54"/>
      <c r="D105" s="54"/>
    </row>
  </sheetData>
  <pageMargins left="0.7" right="0.7" top="0.75" bottom="0.75" header="0.3" footer="0.3"/>
  <pageSetup orientation="portrait" r:id="rId1"/>
  <ignoredErrors>
    <ignoredError sqref="C15:D15 I21 I2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A460-CA15-4545-AC6A-3668A5E71EC1}">
  <sheetPr>
    <tabColor theme="8" tint="0.39997558519241921"/>
  </sheetPr>
  <dimension ref="A1:I43"/>
  <sheetViews>
    <sheetView showGridLines="0" tabSelected="1" topLeftCell="A17" workbookViewId="0">
      <selection activeCell="C32" sqref="C32"/>
    </sheetView>
  </sheetViews>
  <sheetFormatPr defaultColWidth="14.28515625" defaultRowHeight="15" x14ac:dyDescent="0.25"/>
  <cols>
    <col min="1" max="1" width="3.5703125" customWidth="1"/>
    <col min="2" max="2" width="33" customWidth="1"/>
    <col min="3" max="8" width="16.85546875" customWidth="1"/>
    <col min="9" max="9" width="32" customWidth="1"/>
  </cols>
  <sheetData>
    <row r="1" spans="1:9" x14ac:dyDescent="0.25">
      <c r="A1" s="56"/>
    </row>
    <row r="2" spans="1:9" ht="21" x14ac:dyDescent="0.35">
      <c r="B2" s="9"/>
      <c r="C2" s="9"/>
      <c r="D2" s="64" t="str">
        <f>" Ratio Analysis-"&amp;'Data Sheet '!B1</f>
        <v xml:space="preserve"> Ratio Analysis-NESTLE INDIA LTD</v>
      </c>
      <c r="E2" s="9"/>
      <c r="F2" s="9"/>
      <c r="G2" s="9"/>
      <c r="H2" s="9"/>
      <c r="I2" s="9"/>
    </row>
    <row r="3" spans="1:9" x14ac:dyDescent="0.25">
      <c r="B3" s="8" t="s">
        <v>54</v>
      </c>
      <c r="C3" s="9">
        <f>'Data Sheet '!B16</f>
        <v>44561</v>
      </c>
      <c r="D3" s="9">
        <f>'Data Sheet '!C16</f>
        <v>44926</v>
      </c>
      <c r="E3" s="9">
        <f>'Data Sheet '!D16</f>
        <v>45291</v>
      </c>
      <c r="F3" s="9">
        <f>'Data Sheet '!E16</f>
        <v>45382</v>
      </c>
      <c r="G3" s="9">
        <f>'Data Sheet '!F16</f>
        <v>45747</v>
      </c>
      <c r="H3" s="9">
        <f>'Data Sheet '!G16</f>
        <v>46112</v>
      </c>
      <c r="I3" s="10" t="s">
        <v>149</v>
      </c>
    </row>
    <row r="5" spans="1:9" x14ac:dyDescent="0.25">
      <c r="B5" s="13" t="s">
        <v>58</v>
      </c>
      <c r="D5" s="57">
        <f>'Histriocial FS'!D7</f>
        <v>0.14628790299438488</v>
      </c>
      <c r="E5" s="57">
        <f>'Histriocial FS'!E7</f>
        <v>0.13193734257523237</v>
      </c>
      <c r="F5" s="57">
        <f>'Histriocial FS'!F7</f>
        <v>0.27541082174806419</v>
      </c>
      <c r="G5" s="57">
        <f>'Histriocial FS'!G7</f>
        <v>-0.1718598386727167</v>
      </c>
      <c r="H5" s="57">
        <f>'Histriocial FS'!H7</f>
        <v>0.14617880995329058</v>
      </c>
      <c r="I5" s="57"/>
    </row>
    <row r="6" spans="1:9" x14ac:dyDescent="0.25">
      <c r="B6" s="13" t="s">
        <v>123</v>
      </c>
      <c r="D6" s="57">
        <f>'Histriocial FS'!D18/'Histriocial FS'!C18-1</f>
        <v>4.0391309229732553E-2</v>
      </c>
      <c r="E6" s="57">
        <f>'Histriocial FS'!E18/'Histriocial FS'!D18-1</f>
        <v>0.20632492330605601</v>
      </c>
      <c r="F6" s="57">
        <f>'Histriocial FS'!F18/'Histriocial FS'!E18-1</f>
        <v>0.3068962355093614</v>
      </c>
      <c r="G6" s="57">
        <f>'Histriocial FS'!G18/'Histriocial FS'!F18-1</f>
        <v>-0.18342768931666631</v>
      </c>
      <c r="H6" s="57">
        <f>'Histriocial FS'!H18/'Histriocial FS'!G18-1</f>
        <v>0.11226010357698968</v>
      </c>
      <c r="I6" s="57"/>
    </row>
    <row r="7" spans="1:9" x14ac:dyDescent="0.25">
      <c r="B7" s="13" t="s">
        <v>124</v>
      </c>
      <c r="D7" s="57">
        <f>IFERROR(('Histriocial FS'!D27+'Histriocial FS'!D21)/('Histriocial FS'!C27+'Histriocial FS'!C21)-1,0)</f>
        <v>4.1590727065189181E-2</v>
      </c>
      <c r="E7" s="57">
        <f>IFERROR(('Histriocial FS'!E27+'Histriocial FS'!E21)/('Histriocial FS'!D27+'Histriocial FS'!D21)-1,0)</f>
        <v>0.22365648688576267</v>
      </c>
      <c r="F7" s="57">
        <f>IFERROR(('Histriocial FS'!F27+'Histriocial FS'!F21)/('Histriocial FS'!E27+'Histriocial FS'!E21)-1,0)</f>
        <v>0.30511271424613073</v>
      </c>
      <c r="G7" s="57">
        <f>IFERROR(('Histriocial FS'!G27+'Histriocial FS'!G21)/('Histriocial FS'!F27+'Histriocial FS'!F21)-1,0)</f>
        <v>-0.19789322834227729</v>
      </c>
      <c r="H7" s="57">
        <f>IFERROR(('Histriocial FS'!H27+'Histriocial FS'!H21)/('Histriocial FS'!G27+'Histriocial FS'!G21)-1,0)</f>
        <v>8.8934894042411061E-2</v>
      </c>
      <c r="I7" s="57"/>
    </row>
    <row r="8" spans="1:9" x14ac:dyDescent="0.25">
      <c r="B8" s="13" t="s">
        <v>125</v>
      </c>
      <c r="D8" s="57">
        <f>'Histriocial FS'!D27/'Histriocial FS'!C27-1</f>
        <v>6.027881604202423E-2</v>
      </c>
      <c r="E8" s="57">
        <f>'Histriocial FS'!E27/'Histriocial FS'!D27-1</f>
        <v>0.24584036002045351</v>
      </c>
      <c r="F8" s="57">
        <f>'Histriocial FS'!F27/'Histriocial FS'!E27-1</f>
        <v>0.30771211306238677</v>
      </c>
      <c r="G8" s="57">
        <f>'Histriocial FS'!G27/'Histriocial FS'!F27-1</f>
        <v>-0.20165578921924088</v>
      </c>
      <c r="H8" s="57">
        <f>'Histriocial FS'!H27/'Histriocial FS'!G27-1</f>
        <v>8.6440673827528514E-2</v>
      </c>
      <c r="I8" s="57"/>
    </row>
    <row r="9" spans="1:9" x14ac:dyDescent="0.25">
      <c r="B9" s="13" t="s">
        <v>126</v>
      </c>
      <c r="D9" s="57">
        <f>IFERROR('Histriocial FS'!D33/'Histriocial FS'!C33-1,0)</f>
        <v>2.3520815495855496E-2</v>
      </c>
      <c r="E9" s="57">
        <f>IFERROR('Histriocial FS'!E33/'Histriocial FS'!D33-1,0)</f>
        <v>0.26274274502246886</v>
      </c>
      <c r="F9" s="57">
        <f>IFERROR('Histriocial FS'!F33/'Histriocial FS'!E33-1,0)</f>
        <v>0.30892385811450596</v>
      </c>
      <c r="G9" s="57">
        <f>IFERROR('Histriocial FS'!G33/'Histriocial FS'!F33-1,0)</f>
        <v>-0.21500854564966809</v>
      </c>
      <c r="H9" s="57">
        <f>IFERROR('Histriocial FS'!H33/'Histriocial FS'!G33-1,0)</f>
        <v>0.14242651327959321</v>
      </c>
      <c r="I9" s="57"/>
    </row>
    <row r="10" spans="1:9" x14ac:dyDescent="0.25">
      <c r="B10" s="13" t="s">
        <v>127</v>
      </c>
      <c r="D10" s="57">
        <f>IFERROR('Histriocial FS'!D41/'Histriocial FS'!C41-1,0)</f>
        <v>9.9999999999999867E-2</v>
      </c>
      <c r="E10" s="57">
        <f>IFERROR('Histriocial FS'!E41/'Histriocial FS'!D41-1,0)</f>
        <v>-0.20908996624615794</v>
      </c>
      <c r="F10" s="57">
        <f>IFERROR('Histriocial FS'!F41/'Histriocial FS'!E41-1,0)</f>
        <v>0.85028221538545989</v>
      </c>
      <c r="G10" s="57">
        <f>IFERROR('Histriocial FS'!G41/'Histriocial FS'!F41-1,0)</f>
        <v>-0.16148960292715597</v>
      </c>
      <c r="H10" s="57">
        <f>IFERROR('Histriocial FS'!H41/'Histriocial FS'!G41-1,0)</f>
        <v>-0.11115720574339116</v>
      </c>
      <c r="I10" s="57"/>
    </row>
    <row r="11" spans="1:9" x14ac:dyDescent="0.25">
      <c r="B11" s="18"/>
      <c r="C11" s="19"/>
      <c r="D11" s="19"/>
      <c r="E11" s="19"/>
      <c r="F11" s="19"/>
      <c r="G11" s="19"/>
      <c r="H11" s="19"/>
      <c r="I11" s="19"/>
    </row>
    <row r="12" spans="1:9" x14ac:dyDescent="0.25">
      <c r="B12" s="13" t="s">
        <v>62</v>
      </c>
      <c r="C12" s="57">
        <f>IFERROR('Histriocial FS'!C13,0)</f>
        <v>0.72988270362568408</v>
      </c>
      <c r="D12" s="57">
        <f>IFERROR('Histriocial FS'!D13,0)</f>
        <v>0.65304792744846729</v>
      </c>
      <c r="E12" s="57">
        <f>IFERROR('Histriocial FS'!E13,0)</f>
        <v>0.86019301898775424</v>
      </c>
      <c r="F12" s="57">
        <f>IFERROR('Histriocial FS'!F13,0)</f>
        <v>0.72985210314770121</v>
      </c>
      <c r="G12" s="57">
        <f>IFERROR('Histriocial FS'!G13,0)</f>
        <v>0.72768338969251323</v>
      </c>
      <c r="H12" s="57">
        <f>IFERROR('Histriocial FS'!H13,0)</f>
        <v>0.69909096512675706</v>
      </c>
      <c r="I12" s="57"/>
    </row>
    <row r="13" spans="1:9" x14ac:dyDescent="0.25">
      <c r="B13" s="13" t="s">
        <v>128</v>
      </c>
      <c r="C13" s="57">
        <f>IFERROR('Histriocial FS'!C19,0)</f>
        <v>0.24167282313665861</v>
      </c>
      <c r="D13" s="57">
        <f>IFERROR('Histriocial FS'!D19,0)</f>
        <v>0.21934655701380593</v>
      </c>
      <c r="E13" s="57">
        <f>IFERROR('Histriocial FS'!E19,0)</f>
        <v>0.23376136524053268</v>
      </c>
      <c r="F13" s="57">
        <f>IFERROR('Histriocial FS'!F19,0)</f>
        <v>0.23953211234452562</v>
      </c>
      <c r="G13" s="57">
        <f>IFERROR('Histriocial FS'!G19,0)</f>
        <v>0.23618621532198505</v>
      </c>
      <c r="H13" s="57">
        <f>IFERROR('Histriocial FS'!H19,0)</f>
        <v>0.22919679027061576</v>
      </c>
      <c r="I13" s="57"/>
    </row>
    <row r="14" spans="1:9" x14ac:dyDescent="0.25">
      <c r="B14" s="13" t="s">
        <v>129</v>
      </c>
      <c r="C14" s="57">
        <f>IFERROR(SUM('Histriocial FS'!C27,'Histriocial FS'!C21)/'Histriocial FS'!C6,0)</f>
        <v>0.21514606945854939</v>
      </c>
      <c r="D14" s="57">
        <f>IFERROR(SUM('Histriocial FS'!D27,'Histriocial FS'!D21)/'Histriocial FS'!D6,0)</f>
        <v>0.1954955210878169</v>
      </c>
      <c r="E14" s="57">
        <f>IFERROR(SUM('Histriocial FS'!E27,'Histriocial FS'!E21)/'Histriocial FS'!E6,0)</f>
        <v>0.21133622289726711</v>
      </c>
      <c r="F14" s="57">
        <f>IFERROR(SUM('Histriocial FS'!F27,'Histriocial FS'!F21)/'Histriocial FS'!F6,0)</f>
        <v>0.21625784161525693</v>
      </c>
      <c r="G14" s="57">
        <f>IFERROR(SUM('Histriocial FS'!G27,'Histriocial FS'!G21)/'Histriocial FS'!G6,0)</f>
        <v>0.20945956648892464</v>
      </c>
      <c r="H14" s="57">
        <f>IFERROR(SUM('Histriocial FS'!H27,'Histriocial FS'!H21)/'Histriocial FS'!H6,0)</f>
        <v>0.19899847114612215</v>
      </c>
      <c r="I14" s="57"/>
    </row>
    <row r="15" spans="1:9" x14ac:dyDescent="0.25">
      <c r="B15" s="13" t="s">
        <v>130</v>
      </c>
      <c r="C15" s="57">
        <f>IFERROR('Histriocial FS'!C28,0)</f>
        <v>0.20146412049992565</v>
      </c>
      <c r="D15" s="57">
        <f>IFERROR('Histriocial FS'!D28,0)</f>
        <v>0.18634772172035671</v>
      </c>
      <c r="E15" s="57">
        <f>IFERROR('Histriocial FS'!E28,0)</f>
        <v>0.20509926122668787</v>
      </c>
      <c r="F15" s="57">
        <f>IFERROR('Histriocial FS'!F28,0)</f>
        <v>0.21029364320327756</v>
      </c>
      <c r="G15" s="57">
        <f>IFERROR('Histriocial FS'!G28,0)</f>
        <v>0.20272741313047113</v>
      </c>
      <c r="H15" s="57">
        <f>IFERROR('Histriocial FS'!H28,0)</f>
        <v>0.19216138477883443</v>
      </c>
      <c r="I15" s="57"/>
    </row>
    <row r="16" spans="1:9" x14ac:dyDescent="0.25">
      <c r="B16" s="13" t="s">
        <v>131</v>
      </c>
      <c r="C16" s="57">
        <f>IFERROR('Histriocial FS'!C34,0)</f>
        <v>0.15133654758730819</v>
      </c>
      <c r="D16" s="57">
        <f>IFERROR('Histriocial FS'!D34,0)</f>
        <v>0.13512844914114719</v>
      </c>
      <c r="E16" s="57">
        <f>IFERROR('Histriocial FS'!E34,0)</f>
        <v>0.15074374029477736</v>
      </c>
      <c r="F16" s="57">
        <f>IFERROR('Histriocial FS'!F34,0)</f>
        <v>0.1547047231909302</v>
      </c>
      <c r="G16" s="57">
        <f>IFERROR('Histriocial FS'!G34,0)</f>
        <v>0.14664412055306622</v>
      </c>
      <c r="H16" s="57">
        <f>IFERROR('Histriocial FS'!H34,0)</f>
        <v>0.14616404515733372</v>
      </c>
      <c r="I16" s="57"/>
    </row>
    <row r="17" spans="2:9" x14ac:dyDescent="0.25">
      <c r="B17" s="19"/>
      <c r="C17" s="19"/>
      <c r="D17" s="19"/>
      <c r="E17" s="19"/>
      <c r="F17" s="19"/>
      <c r="G17" s="19"/>
      <c r="H17" s="19"/>
      <c r="I17" s="19"/>
    </row>
    <row r="18" spans="2:9" x14ac:dyDescent="0.25">
      <c r="B18" s="13" t="s">
        <v>132</v>
      </c>
      <c r="C18" s="57">
        <f>IFERROR('Histriocial FS'!C16,0)</f>
        <v>0.18025330058023456</v>
      </c>
      <c r="D18" s="57">
        <f>IFERROR('Histriocial FS'!D16,0)</f>
        <v>0.17571030528568454</v>
      </c>
      <c r="E18" s="57">
        <f>IFERROR('Histriocial FS'!E16,0)</f>
        <v>0.22866001265273472</v>
      </c>
      <c r="F18" s="57">
        <f>IFERROR('Histriocial FS'!F16,0)</f>
        <v>0.18238378544791339</v>
      </c>
      <c r="G18" s="57">
        <f>IFERROR('Histriocial FS'!G16,0)</f>
        <v>0.18500402939178953</v>
      </c>
      <c r="H18" s="57">
        <f>IFERROR('Histriocial FS'!H16,0)</f>
        <v>0.18225320238743059</v>
      </c>
      <c r="I18" s="57"/>
    </row>
    <row r="19" spans="2:9" x14ac:dyDescent="0.25">
      <c r="B19" s="13" t="s">
        <v>133</v>
      </c>
      <c r="C19" s="57">
        <f>IFERROR('Histriocial FS'!C25,0)</f>
        <v>4.5888172371100135E-2</v>
      </c>
      <c r="D19" s="57">
        <f>IFERROR('Histriocial FS'!D25,0)</f>
        <v>3.9426905504955138E-2</v>
      </c>
      <c r="E19" s="57">
        <f>IFERROR('Histriocial FS'!E25,0)</f>
        <v>4.1715093236749282E-2</v>
      </c>
      <c r="F19" s="57">
        <f>IFERROR('Histriocial FS'!F25,0)</f>
        <v>4.026104617025441E-2</v>
      </c>
      <c r="G19" s="57">
        <f>IFERROR('Histriocial FS'!G25,0)</f>
        <v>4.6175187251023271E-2</v>
      </c>
      <c r="H19" s="57">
        <f>IFERROR('Histriocial FS'!H25,0)</f>
        <v>5.1309691186441679E-2</v>
      </c>
      <c r="I19" s="57"/>
    </row>
    <row r="20" spans="2:9" x14ac:dyDescent="0.25">
      <c r="B20" s="13" t="s">
        <v>134</v>
      </c>
      <c r="C20" s="57">
        <f>C14</f>
        <v>0.21514606945854939</v>
      </c>
      <c r="D20" s="57">
        <f t="shared" ref="D20:H20" si="0">D14</f>
        <v>0.1954955210878169</v>
      </c>
      <c r="E20" s="57">
        <f t="shared" si="0"/>
        <v>0.21133622289726711</v>
      </c>
      <c r="F20" s="57">
        <f t="shared" si="0"/>
        <v>0.21625784161525693</v>
      </c>
      <c r="G20" s="57">
        <f t="shared" si="0"/>
        <v>0.20945956648892464</v>
      </c>
      <c r="H20" s="57">
        <f t="shared" si="0"/>
        <v>0.19899847114612215</v>
      </c>
      <c r="I20" s="57"/>
    </row>
    <row r="21" spans="2:9" x14ac:dyDescent="0.25">
      <c r="B21" s="19"/>
      <c r="C21" s="19"/>
      <c r="D21" s="19"/>
      <c r="E21" s="19"/>
      <c r="F21" s="19"/>
      <c r="G21" s="19"/>
      <c r="H21" s="19"/>
      <c r="I21" s="65"/>
    </row>
    <row r="22" spans="2:9" x14ac:dyDescent="0.25">
      <c r="B22" s="13" t="s">
        <v>135</v>
      </c>
      <c r="C22" s="57">
        <f>IFERROR(('Histriocial FS'!C18-'Histriocial FS'!C24)/(SUM('Histriocial FS'!C48:C50)),0)</f>
        <v>1.4331718515572742</v>
      </c>
      <c r="D22" s="57">
        <f>IFERROR(('Histriocial FS'!D18-'Histriocial FS'!D24)/SUM('Histriocial FS'!D48:D50),0)</f>
        <v>1.2101300880319736</v>
      </c>
      <c r="E22" s="57">
        <f>IFERROR(('Histriocial FS'!E18-'Histriocial FS'!E24)/SUM('Histriocial FS'!E48:E50),0)</f>
        <v>1.4807835321959635</v>
      </c>
      <c r="F22" s="57">
        <f>IFERROR(('Histriocial FS'!F18-'Histriocial FS'!F24)/SUM('Histriocial FS'!F48:F50),0)</f>
        <v>1.4314162293578478</v>
      </c>
      <c r="G22" s="57">
        <f>IFERROR(('Histriocial FS'!G18-'Histriocial FS'!G24)/SUM('Histriocial FS'!G48:G50),0)</f>
        <v>0.80079674489023478</v>
      </c>
      <c r="H22" s="57">
        <f>IFERROR(('Histriocial FS'!H18-'Histriocial FS'!H24)/SUM('Histriocial FS'!H48:H50),0)</f>
        <v>0.80087078944624046</v>
      </c>
      <c r="I22" s="57"/>
    </row>
    <row r="23" spans="2:9" x14ac:dyDescent="0.25">
      <c r="B23" s="13" t="s">
        <v>136</v>
      </c>
      <c r="C23" s="57">
        <f>'Histriocial FS'!C44</f>
        <v>0.13555287588701725</v>
      </c>
      <c r="D23" s="57">
        <f>'Histriocial FS'!D44</f>
        <v>7.0959943239052303E-2</v>
      </c>
      <c r="E23" s="57">
        <f>'Histriocial FS'!E44</f>
        <v>0.41810229712434577</v>
      </c>
      <c r="F23" s="57">
        <f>'Histriocial FS'!F44</f>
        <v>0.17730699418365881</v>
      </c>
      <c r="G23" s="57">
        <f>'Histriocial FS'!G44</f>
        <v>0.12121764491432752</v>
      </c>
      <c r="H23" s="57">
        <f>'Histriocial FS'!H44</f>
        <v>0.31628043033119879</v>
      </c>
      <c r="I23" s="57"/>
    </row>
    <row r="24" spans="2:9" x14ac:dyDescent="0.25">
      <c r="B24" s="13" t="s">
        <v>137</v>
      </c>
      <c r="C24" s="57">
        <f>IFERROR('Histriocial FS'!C33/SUM('Histriocial FS'!C48:C49),0)</f>
        <v>1.1461225454433352</v>
      </c>
      <c r="D24" s="57">
        <f>IFERROR('Histriocial FS'!D33/SUM('Histriocial FS'!D48:D49),0)</f>
        <v>0.92846773504881663</v>
      </c>
      <c r="E24" s="57">
        <f>IFERROR('Histriocial FS'!E33/SUM('Histriocial FS'!E48:E49),0)</f>
        <v>1.1724158964203368</v>
      </c>
      <c r="F24" s="57">
        <f>IFERROR('Histriocial FS'!F33/SUM('Histriocial FS'!F48:F49),0)</f>
        <v>1.1295942099260976</v>
      </c>
      <c r="G24" s="57">
        <f>IFERROR('Histriocial FS'!G33/SUM('Histriocial FS'!G48:G49),0)</f>
        <v>0.71953657262912474</v>
      </c>
      <c r="H24" s="57">
        <f>IFERROR('Histriocial FS'!H33/SUM('Histriocial FS'!H48:H49),0)</f>
        <v>0.6374490510882912</v>
      </c>
      <c r="I24" s="57"/>
    </row>
    <row r="25" spans="2:9" x14ac:dyDescent="0.25">
      <c r="B25" s="13" t="s">
        <v>138</v>
      </c>
      <c r="C25" s="57">
        <f>C24*C23</f>
        <v>0.15536020715379273</v>
      </c>
      <c r="D25" s="57">
        <f t="shared" ref="D25:H25" si="1">D24*D23</f>
        <v>6.588401777835548E-2</v>
      </c>
      <c r="E25" s="57">
        <f t="shared" si="1"/>
        <v>0.49018977947844189</v>
      </c>
      <c r="F25" s="57">
        <f t="shared" si="1"/>
        <v>0.20028495400926125</v>
      </c>
      <c r="G25" s="57">
        <f t="shared" si="1"/>
        <v>8.7220528763829477E-2</v>
      </c>
      <c r="H25" s="57">
        <f t="shared" si="1"/>
        <v>0.20161266019241905</v>
      </c>
      <c r="I25" s="57"/>
    </row>
    <row r="26" spans="2:9" x14ac:dyDescent="0.25">
      <c r="B26" s="13" t="s">
        <v>139</v>
      </c>
      <c r="C26" s="58">
        <f>('Histriocial FS'!C18-'Histriocial FS'!C24)/'Histriocial FS'!C21</f>
        <v>15.72481158270527</v>
      </c>
      <c r="D26" s="58">
        <f>('Histriocial FS'!D18-'Histriocial FS'!D24)/'Histriocial FS'!D21</f>
        <v>21.370770524681362</v>
      </c>
      <c r="E26" s="58">
        <f>('Histriocial FS'!E18-'Histriocial FS'!E24)/'Histriocial FS'!E21</f>
        <v>33.884483192220635</v>
      </c>
      <c r="F26" s="58">
        <f>('Histriocial FS'!F18-'Histriocial FS'!F24)/'Histriocial FS'!F21</f>
        <v>36.259330538181317</v>
      </c>
      <c r="G26" s="58">
        <f>('Histriocial FS'!G18-'Histriocial FS'!G24)/'Histriocial FS'!G21</f>
        <v>31.113308823529419</v>
      </c>
      <c r="H26" s="58">
        <f>('Histriocial FS'!H18-'Histriocial FS'!H24)/'Histriocial FS'!H21</f>
        <v>29.105741898806137</v>
      </c>
      <c r="I26" s="57"/>
    </row>
    <row r="27" spans="2:9" x14ac:dyDescent="0.25">
      <c r="B27" s="19"/>
      <c r="C27" s="19"/>
      <c r="D27" s="19"/>
      <c r="E27" s="19"/>
      <c r="F27" s="19"/>
      <c r="G27" s="19"/>
      <c r="H27" s="19"/>
      <c r="I27" s="19"/>
    </row>
    <row r="28" spans="2:9" x14ac:dyDescent="0.25">
      <c r="B28" s="13" t="s">
        <v>140</v>
      </c>
      <c r="C28" s="58">
        <f>'Histriocial FS'!C6/'Histriocial FS'!C60</f>
        <v>88.814785804663501</v>
      </c>
      <c r="D28" s="58">
        <f>'Histriocial FS'!D6/'Histriocial FS'!D60</f>
        <v>88.055448433998649</v>
      </c>
      <c r="E28" s="58">
        <f>'Histriocial FS'!E6/'Histriocial FS'!E60</f>
        <v>99.673250299650846</v>
      </c>
      <c r="F28" s="58">
        <f>'Histriocial FS'!F6/'Histriocial FS'!F60</f>
        <v>81.188477667576393</v>
      </c>
      <c r="G28" s="58">
        <f>'Histriocial FS'!G6/'Histriocial FS'!G60</f>
        <v>55.628693377392267</v>
      </c>
      <c r="H28" s="58">
        <f>'Histriocial FS'!H6/'Histriocial FS'!H60</f>
        <v>70.278325795975348</v>
      </c>
      <c r="I28" s="58"/>
    </row>
    <row r="29" spans="2:9" x14ac:dyDescent="0.25">
      <c r="B29" s="13" t="s">
        <v>141</v>
      </c>
      <c r="C29" s="58">
        <f>'Histriocial FS'!C6/'Histriocial FS'!C51</f>
        <v>2.4480784018042647</v>
      </c>
      <c r="D29" s="58">
        <f>'Histriocial FS'!D6/'Histriocial FS'!D51</f>
        <v>2.7039245965386738</v>
      </c>
      <c r="E29" s="58">
        <f>'Histriocial FS'!E6/'Histriocial FS'!E51</f>
        <v>3.0606732223297941</v>
      </c>
      <c r="F29" s="58">
        <f>'Histriocial FS'!F6/'Histriocial FS'!F51</f>
        <v>3.5675891096928178</v>
      </c>
      <c r="G29" s="58">
        <f>'Histriocial FS'!G6/'Histriocial FS'!G51</f>
        <v>2.8695846099868039</v>
      </c>
      <c r="H29" s="58">
        <f>'Histriocial FS'!H6/'Histriocial FS'!H51</f>
        <v>3.0451473413846024</v>
      </c>
      <c r="I29" s="58"/>
    </row>
    <row r="30" spans="2:9" x14ac:dyDescent="0.25">
      <c r="B30" s="13" t="s">
        <v>142</v>
      </c>
      <c r="C30" s="58">
        <f>IFERROR('Histriocial FS'!C6/'Histriocial FS'!C61,0)</f>
        <v>9.2553856779581203</v>
      </c>
      <c r="D30" s="58">
        <f>IFERROR('Histriocial FS'!D6/'Histriocial FS'!D61,0)</f>
        <v>8.760484661208956</v>
      </c>
      <c r="E30" s="58">
        <f>IFERROR('Histriocial FS'!E6/'Histriocial FS'!E61,0)</f>
        <v>9.9163197270799515</v>
      </c>
      <c r="F30" s="58">
        <f>IFERROR('Histriocial FS'!F6/'Histriocial FS'!F61,0)</f>
        <v>11.67529291266225</v>
      </c>
      <c r="G30" s="58">
        <f>IFERROR('Histriocial FS'!G6/'Histriocial FS'!G61,0)</f>
        <v>7.0879184882146147</v>
      </c>
      <c r="H30" s="58">
        <f>IFERROR('Histriocial FS'!H6/'Histriocial FS'!H61,0)</f>
        <v>9.0123072372159641</v>
      </c>
      <c r="I30" s="58"/>
    </row>
    <row r="31" spans="2:9" x14ac:dyDescent="0.25">
      <c r="B31" s="13" t="s">
        <v>143</v>
      </c>
      <c r="C31" s="58">
        <f>IFERROR('Histriocial FS'!C6/'Histriocial FS'!C54,0)</f>
        <v>4.9222752423472365</v>
      </c>
      <c r="D31" s="58">
        <f>IFERROR('Histriocial FS'!D6/'Histriocial FS'!D54,0)</f>
        <v>5.551453822650064</v>
      </c>
      <c r="E31" s="58">
        <f>IFERROR('Histriocial FS'!E6/'Histriocial FS'!E54,0)</f>
        <v>6.2838978874396298</v>
      </c>
      <c r="F31" s="58">
        <f>IFERROR('Histriocial FS'!F6/'Histriocial FS'!F54,0)</f>
        <v>7.0497478505888305</v>
      </c>
      <c r="G31" s="58">
        <f>IFERROR('Histriocial FS'!G6/'Histriocial FS'!G54,0)</f>
        <v>3.6907196530260653</v>
      </c>
      <c r="H31" s="58">
        <f>IFERROR('Histriocial FS'!H6/'Histriocial FS'!H54,0)</f>
        <v>3.6809306850734926</v>
      </c>
      <c r="I31" s="58"/>
    </row>
    <row r="32" spans="2:9" x14ac:dyDescent="0.25">
      <c r="B32" s="13" t="s">
        <v>144</v>
      </c>
      <c r="C32" s="58">
        <f>IFERROR('Histriocial FS'!C6/SUM('Histriocial FS'!C48:C49),0)</f>
        <v>7.5733361419661112</v>
      </c>
      <c r="D32" s="58">
        <f>IFERROR('Histriocial FS'!D6/SUM('Histriocial FS'!D48:D49),0)</f>
        <v>6.8710011914589062</v>
      </c>
      <c r="E32" s="58">
        <f>IFERROR('Histriocial FS'!E6/SUM('Histriocial FS'!E48:E49),0)</f>
        <v>7.7775428294912503</v>
      </c>
      <c r="F32" s="58">
        <f>IFERROR('Histriocial FS'!F6/SUM('Histriocial FS'!F48:F49),0)</f>
        <v>7.3016142405167486</v>
      </c>
      <c r="G32" s="58">
        <f>IFERROR('Histriocial FS'!G6/SUM('Histriocial FS'!G48:G49),0)</f>
        <v>4.9066854498864512</v>
      </c>
      <c r="H32" s="58">
        <f>IFERROR('Histriocial FS'!H6/SUM('Histriocial FS'!H48:H49),0)</f>
        <v>4.3611891720848934</v>
      </c>
      <c r="I32" s="58"/>
    </row>
    <row r="33" spans="2:9" x14ac:dyDescent="0.25">
      <c r="B33" s="19"/>
      <c r="C33" s="19"/>
      <c r="D33" s="19"/>
      <c r="E33" s="19"/>
      <c r="F33" s="19"/>
      <c r="G33" s="19"/>
      <c r="H33" s="19"/>
      <c r="I33" s="63"/>
    </row>
    <row r="34" spans="2:9" x14ac:dyDescent="0.25">
      <c r="B34" s="13" t="s">
        <v>145</v>
      </c>
      <c r="C34" s="59">
        <f>IFERROR(365/C28,0)</f>
        <v>4.1096760713105782</v>
      </c>
      <c r="D34" s="59">
        <f t="shared" ref="D34:H34" si="2">IFERROR(365/D28,0)</f>
        <v>4.1451154527204892</v>
      </c>
      <c r="E34" s="59">
        <f t="shared" si="2"/>
        <v>3.6619654611712664</v>
      </c>
      <c r="F34" s="59">
        <f t="shared" si="2"/>
        <v>4.4957118360376302</v>
      </c>
      <c r="G34" s="59">
        <f t="shared" si="2"/>
        <v>6.5613620928284737</v>
      </c>
      <c r="H34" s="59">
        <f t="shared" si="2"/>
        <v>5.1936353899441148</v>
      </c>
      <c r="I34" s="58"/>
    </row>
    <row r="35" spans="2:9" x14ac:dyDescent="0.25">
      <c r="B35" s="13" t="s">
        <v>146</v>
      </c>
      <c r="C35" s="59">
        <f>IFERROR(365/C29,0)</f>
        <v>149.09653209267742</v>
      </c>
      <c r="D35" s="59">
        <f t="shared" ref="D35:H35" si="3">IFERROR(365/D29,0)</f>
        <v>134.98897138893625</v>
      </c>
      <c r="E35" s="59">
        <f t="shared" si="3"/>
        <v>119.25480882345252</v>
      </c>
      <c r="F35" s="59">
        <f t="shared" si="3"/>
        <v>102.30998827985205</v>
      </c>
      <c r="G35" s="59">
        <f t="shared" si="3"/>
        <v>127.19611010238813</v>
      </c>
      <c r="H35" s="59">
        <f t="shared" si="3"/>
        <v>119.86283719001841</v>
      </c>
      <c r="I35" s="58"/>
    </row>
    <row r="36" spans="2:9" x14ac:dyDescent="0.25">
      <c r="B36" s="13" t="s">
        <v>147</v>
      </c>
      <c r="C36" s="59">
        <f>IFERROR(365/C30,0)</f>
        <v>39.436498132028639</v>
      </c>
      <c r="D36" s="59">
        <f t="shared" ref="D36:H36" si="4">IFERROR(365/D30,0)</f>
        <v>41.664361518284949</v>
      </c>
      <c r="E36" s="59">
        <f t="shared" si="4"/>
        <v>36.808010435891944</v>
      </c>
      <c r="F36" s="59">
        <f t="shared" si="4"/>
        <v>31.262598954082353</v>
      </c>
      <c r="G36" s="59">
        <f t="shared" si="4"/>
        <v>51.49607753064614</v>
      </c>
      <c r="H36" s="59">
        <f t="shared" si="4"/>
        <v>40.500172751850606</v>
      </c>
      <c r="I36" s="58"/>
    </row>
    <row r="37" spans="2:9" x14ac:dyDescent="0.25">
      <c r="B37" s="13" t="s">
        <v>148</v>
      </c>
      <c r="C37" s="59">
        <f>SUM(C36,C34)-C35</f>
        <v>-105.5503578893382</v>
      </c>
      <c r="D37" s="59">
        <f t="shared" ref="D37:H37" si="5">SUM(D36,D34)-D35</f>
        <v>-89.179494417930812</v>
      </c>
      <c r="E37" s="59">
        <f t="shared" si="5"/>
        <v>-78.784832926389313</v>
      </c>
      <c r="F37" s="59">
        <f t="shared" si="5"/>
        <v>-66.551677489732072</v>
      </c>
      <c r="G37" s="59">
        <f t="shared" si="5"/>
        <v>-69.138670478913525</v>
      </c>
      <c r="H37" s="59">
        <f t="shared" si="5"/>
        <v>-74.169029048223692</v>
      </c>
      <c r="I37" s="58"/>
    </row>
    <row r="38" spans="2:9" x14ac:dyDescent="0.25">
      <c r="B38" s="19"/>
      <c r="C38" s="19"/>
      <c r="D38" s="19"/>
      <c r="E38" s="19"/>
      <c r="F38" s="19"/>
      <c r="G38" s="19"/>
      <c r="H38" s="19"/>
      <c r="I38" s="19"/>
    </row>
    <row r="39" spans="2:9" x14ac:dyDescent="0.25">
      <c r="B39" s="13"/>
    </row>
    <row r="40" spans="2:9" x14ac:dyDescent="0.25">
      <c r="B40" s="13"/>
    </row>
    <row r="43" spans="2:9" x14ac:dyDescent="0.25">
      <c r="B43" s="60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low="1" xr2:uid="{1BE65479-0876-4CE6-B4CF-1BF7C35B2CB9}">
          <x14:colorSeries rgb="FF376092"/>
          <x14:colorNegative rgb="FFD00000"/>
          <x14:colorAxis rgb="FF000000"/>
          <x14:colorMarkers theme="4" tint="-0.249977111117893"/>
          <x14:colorFirst rgb="FFD00000"/>
          <x14:colorLast rgb="FFD00000"/>
          <x14:colorHigh rgb="FFD00000"/>
          <x14:colorLow rgb="FFFF0000"/>
          <x14:sparklines>
            <x14:sparkline>
              <xm:f>'Ratio Analysis '!C28:H28</xm:f>
              <xm:sqref>I28</xm:sqref>
            </x14:sparkline>
            <x14:sparkline>
              <xm:f>'Ratio Analysis '!C29:H29</xm:f>
              <xm:sqref>I29</xm:sqref>
            </x14:sparkline>
            <x14:sparkline>
              <xm:f>'Ratio Analysis '!C30:H30</xm:f>
              <xm:sqref>I30</xm:sqref>
            </x14:sparkline>
            <x14:sparkline>
              <xm:f>'Ratio Analysis '!C31:H31</xm:f>
              <xm:sqref>I31</xm:sqref>
            </x14:sparkline>
            <x14:sparkline>
              <xm:f>'Ratio Analysis '!C32:H32</xm:f>
              <xm:sqref>I32</xm:sqref>
            </x14:sparkline>
            <x14:sparkline>
              <xm:f>'Ratio Analysis '!C33:H33</xm:f>
              <xm:sqref>I33</xm:sqref>
            </x14:sparkline>
            <x14:sparkline>
              <xm:f>'Ratio Analysis '!C34:H34</xm:f>
              <xm:sqref>I34</xm:sqref>
            </x14:sparkline>
            <x14:sparkline>
              <xm:f>'Ratio Analysis '!C35:H35</xm:f>
              <xm:sqref>I35</xm:sqref>
            </x14:sparkline>
            <x14:sparkline>
              <xm:f>'Ratio Analysis '!C36:H36</xm:f>
              <xm:sqref>I36</xm:sqref>
            </x14:sparkline>
            <x14:sparkline>
              <xm:f>'Ratio Analysis '!C37:H37</xm:f>
              <xm:sqref>I37</xm:sqref>
            </x14:sparkline>
          </x14:sparklines>
        </x14:sparklineGroup>
        <x14:sparklineGroup displayEmptyCellsAs="gap" markers="1" low="1" xr2:uid="{BF1F3A69-24FF-4734-9C82-74ED6500B0F3}">
          <x14:colorSeries rgb="FF376092"/>
          <x14:colorNegative rgb="FFD00000"/>
          <x14:colorAxis rgb="FF000000"/>
          <x14:colorMarkers theme="4" tint="-0.249977111117893"/>
          <x14:colorFirst rgb="FFD00000"/>
          <x14:colorLast rgb="FFD00000"/>
          <x14:colorHigh rgb="FFD00000"/>
          <x14:colorLow rgb="FFFF0000"/>
          <x14:sparklines>
            <x14:sparkline>
              <xm:f>'Ratio Analysis '!C18:H18</xm:f>
              <xm:sqref>I18</xm:sqref>
            </x14:sparkline>
            <x14:sparkline>
              <xm:f>'Ratio Analysis '!C19:H19</xm:f>
              <xm:sqref>I19</xm:sqref>
            </x14:sparkline>
            <x14:sparkline>
              <xm:f>'Ratio Analysis '!C20:H20</xm:f>
              <xm:sqref>I20</xm:sqref>
            </x14:sparkline>
            <x14:sparkline>
              <xm:f>'Ratio Analysis '!C21:H21</xm:f>
              <xm:sqref>I21</xm:sqref>
            </x14:sparkline>
            <x14:sparkline>
              <xm:f>'Ratio Analysis '!C22:H22</xm:f>
              <xm:sqref>I22</xm:sqref>
            </x14:sparkline>
            <x14:sparkline>
              <xm:f>'Ratio Analysis '!C23:H23</xm:f>
              <xm:sqref>I23</xm:sqref>
            </x14:sparkline>
            <x14:sparkline>
              <xm:f>'Ratio Analysis '!C24:H24</xm:f>
              <xm:sqref>I24</xm:sqref>
            </x14:sparkline>
            <x14:sparkline>
              <xm:f>'Ratio Analysis '!C25:H25</xm:f>
              <xm:sqref>I25</xm:sqref>
            </x14:sparkline>
            <x14:sparkline>
              <xm:f>'Ratio Analysis '!C26:H26</xm:f>
              <xm:sqref>I26</xm:sqref>
            </x14:sparkline>
          </x14:sparklines>
        </x14:sparklineGroup>
        <x14:sparklineGroup displayEmptyCellsAs="gap" markers="1" low="1" xr2:uid="{A7F322CE-341D-4E7C-8E71-9E1D1995FE54}">
          <x14:colorSeries rgb="FF376092"/>
          <x14:colorNegative rgb="FFD00000"/>
          <x14:colorAxis rgb="FF000000"/>
          <x14:colorMarkers theme="4" tint="-0.249977111117893"/>
          <x14:colorFirst rgb="FFD00000"/>
          <x14:colorLast rgb="FFD00000"/>
          <x14:colorHigh rgb="FFD00000"/>
          <x14:colorLow rgb="FFFF0000"/>
          <x14:sparklines>
            <x14:sparkline>
              <xm:f>'Ratio Analysis '!C12:H12</xm:f>
              <xm:sqref>I12</xm:sqref>
            </x14:sparkline>
            <x14:sparkline>
              <xm:f>'Ratio Analysis '!C13:H13</xm:f>
              <xm:sqref>I13</xm:sqref>
            </x14:sparkline>
            <x14:sparkline>
              <xm:f>'Ratio Analysis '!C14:H14</xm:f>
              <xm:sqref>I14</xm:sqref>
            </x14:sparkline>
            <x14:sparkline>
              <xm:f>'Ratio Analysis '!C15:H15</xm:f>
              <xm:sqref>I15</xm:sqref>
            </x14:sparkline>
            <x14:sparkline>
              <xm:f>'Ratio Analysis '!C16:H16</xm:f>
              <xm:sqref>I16</xm:sqref>
            </x14:sparkline>
          </x14:sparklines>
        </x14:sparklineGroup>
        <x14:sparklineGroup displayEmptyCellsAs="gap" markers="1" low="1" xr2:uid="{BF411697-4D11-475A-A235-79B6C0B4C754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rgb="FFFF0000"/>
          <x14:sparklines>
            <x14:sparkline>
              <xm:f>'Ratio Analysis '!D5:H5</xm:f>
              <xm:sqref>I5</xm:sqref>
            </x14:sparkline>
            <x14:sparkline>
              <xm:f>'Ratio Analysis '!D6:H6</xm:f>
              <xm:sqref>I6</xm:sqref>
            </x14:sparkline>
            <x14:sparkline>
              <xm:f>'Ratio Analysis '!D7:H7</xm:f>
              <xm:sqref>I7</xm:sqref>
            </x14:sparkline>
            <x14:sparkline>
              <xm:f>'Ratio Analysis '!D8:H8</xm:f>
              <xm:sqref>I8</xm:sqref>
            </x14:sparkline>
            <x14:sparkline>
              <xm:f>'Ratio Analysis '!D9:H9</xm:f>
              <xm:sqref>I9</xm:sqref>
            </x14:sparkline>
            <x14:sparkline>
              <xm:f>'Ratio Analysis '!D10:H10</xm:f>
              <xm:sqref>I10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887E-E979-4F61-B890-0DB8E1AAC089}">
  <sheetPr>
    <tabColor theme="5" tint="0.39997558519241921"/>
  </sheetPr>
  <dimension ref="A1:K93"/>
  <sheetViews>
    <sheetView topLeftCell="A74" workbookViewId="0">
      <selection activeCell="E88" sqref="E88:E90"/>
    </sheetView>
  </sheetViews>
  <sheetFormatPr defaultColWidth="8.85546875" defaultRowHeight="15" x14ac:dyDescent="0.25"/>
  <cols>
    <col min="1" max="1" width="27.7109375" style="2" bestFit="1" customWidth="1"/>
    <col min="2" max="11" width="13.42578125" style="2" bestFit="1" customWidth="1"/>
    <col min="12" max="16384" width="8.85546875" style="2"/>
  </cols>
  <sheetData>
    <row r="1" spans="1:11" s="1" customFormat="1" x14ac:dyDescent="0.25">
      <c r="A1" s="1" t="s">
        <v>0</v>
      </c>
      <c r="B1" s="1" t="s">
        <v>1</v>
      </c>
      <c r="E1" s="68" t="str">
        <f>IF(B2&lt;&gt;B3, "A NEW VERSION OF THE WORKSHEET IS AVAILABLE", "")</f>
        <v/>
      </c>
      <c r="F1" s="68"/>
      <c r="G1" s="68"/>
      <c r="H1" s="68"/>
      <c r="I1" s="68"/>
      <c r="J1" s="68"/>
      <c r="K1" s="68"/>
    </row>
    <row r="2" spans="1:11" x14ac:dyDescent="0.25">
      <c r="A2" s="1" t="s">
        <v>2</v>
      </c>
      <c r="B2" s="2">
        <v>2.1</v>
      </c>
      <c r="E2" s="69" t="s">
        <v>3</v>
      </c>
      <c r="F2" s="69"/>
      <c r="G2" s="69"/>
      <c r="H2" s="69"/>
      <c r="I2" s="69"/>
      <c r="J2" s="69"/>
      <c r="K2" s="69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192.82477051650909</v>
      </c>
    </row>
    <row r="7" spans="1:11" x14ac:dyDescent="0.25">
      <c r="A7" s="2" t="s">
        <v>7</v>
      </c>
      <c r="B7">
        <v>1</v>
      </c>
    </row>
    <row r="8" spans="1:11" x14ac:dyDescent="0.25">
      <c r="A8" s="2" t="s">
        <v>8</v>
      </c>
      <c r="B8">
        <v>1459.8</v>
      </c>
    </row>
    <row r="9" spans="1:11" x14ac:dyDescent="0.25">
      <c r="A9" s="2" t="s">
        <v>9</v>
      </c>
      <c r="B9">
        <v>281485.59999999998</v>
      </c>
    </row>
    <row r="15" spans="1:11" x14ac:dyDescent="0.25">
      <c r="A15" s="1" t="s">
        <v>10</v>
      </c>
    </row>
    <row r="16" spans="1:11" s="5" customFormat="1" x14ac:dyDescent="0.25">
      <c r="A16" s="3" t="s">
        <v>11</v>
      </c>
      <c r="B16" s="4">
        <v>44561</v>
      </c>
      <c r="C16" s="4">
        <v>44926</v>
      </c>
      <c r="D16" s="4">
        <v>45291</v>
      </c>
      <c r="E16" s="4">
        <v>45382</v>
      </c>
      <c r="F16" s="4">
        <v>45747</v>
      </c>
      <c r="G16" s="4">
        <v>46112</v>
      </c>
    </row>
    <row r="17" spans="1:7" s="6" customFormat="1" x14ac:dyDescent="0.25">
      <c r="A17" s="6" t="s">
        <v>12</v>
      </c>
      <c r="B17">
        <v>14740.59</v>
      </c>
      <c r="C17">
        <v>16896.96</v>
      </c>
      <c r="D17">
        <v>19126.3</v>
      </c>
      <c r="E17">
        <v>24393.89</v>
      </c>
      <c r="F17">
        <v>20201.560000000001</v>
      </c>
      <c r="G17">
        <v>23154.6</v>
      </c>
    </row>
    <row r="18" spans="1:7" s="6" customFormat="1" x14ac:dyDescent="0.25">
      <c r="A18" s="2" t="s">
        <v>13</v>
      </c>
      <c r="B18">
        <v>5301.26</v>
      </c>
      <c r="C18">
        <v>6660.42</v>
      </c>
      <c r="D18">
        <v>8472.7199999999993</v>
      </c>
      <c r="E18">
        <v>9201.11</v>
      </c>
      <c r="F18">
        <v>7646.63</v>
      </c>
      <c r="G18">
        <v>9113.9599999999991</v>
      </c>
    </row>
    <row r="19" spans="1:7" s="6" customFormat="1" x14ac:dyDescent="0.25">
      <c r="A19" s="2" t="s">
        <v>14</v>
      </c>
      <c r="B19">
        <v>67.59</v>
      </c>
      <c r="C19">
        <v>250.27</v>
      </c>
      <c r="D19">
        <v>40.01</v>
      </c>
      <c r="E19">
        <v>45.68</v>
      </c>
      <c r="F19">
        <v>139.66</v>
      </c>
      <c r="G19">
        <v>168.23</v>
      </c>
    </row>
    <row r="20" spans="1:7" s="6" customFormat="1" x14ac:dyDescent="0.25">
      <c r="A20" s="2" t="s">
        <v>15</v>
      </c>
      <c r="B20">
        <v>408.06</v>
      </c>
      <c r="C20">
        <v>572.61</v>
      </c>
      <c r="E20">
        <v>674.83</v>
      </c>
      <c r="F20">
        <v>541.41999999999996</v>
      </c>
      <c r="G20">
        <v>587.21</v>
      </c>
    </row>
    <row r="21" spans="1:7" s="6" customFormat="1" x14ac:dyDescent="0.25">
      <c r="A21" s="2" t="s">
        <v>16</v>
      </c>
      <c r="B21">
        <v>1349.48</v>
      </c>
      <c r="C21">
        <v>1603.48</v>
      </c>
      <c r="E21">
        <v>1935.4</v>
      </c>
      <c r="F21">
        <v>1582.45</v>
      </c>
      <c r="G21">
        <v>1816.29</v>
      </c>
    </row>
    <row r="22" spans="1:7" s="6" customFormat="1" x14ac:dyDescent="0.25">
      <c r="A22" s="2" t="s">
        <v>17</v>
      </c>
      <c r="B22">
        <v>1529.94</v>
      </c>
      <c r="C22">
        <v>1635.46</v>
      </c>
      <c r="D22">
        <v>1849.18</v>
      </c>
      <c r="E22">
        <v>2336.06</v>
      </c>
      <c r="F22">
        <v>2062.02</v>
      </c>
      <c r="G22">
        <v>2278.41</v>
      </c>
    </row>
    <row r="23" spans="1:7" s="6" customFormat="1" x14ac:dyDescent="0.25">
      <c r="A23" s="2" t="s">
        <v>18</v>
      </c>
      <c r="B23">
        <v>2902.12</v>
      </c>
      <c r="C23">
        <v>3192.15</v>
      </c>
      <c r="E23">
        <v>4837.58</v>
      </c>
      <c r="F23">
        <v>4126.54</v>
      </c>
      <c r="G23">
        <v>4780.8999999999996</v>
      </c>
    </row>
    <row r="24" spans="1:7" s="6" customFormat="1" x14ac:dyDescent="0.25">
      <c r="A24" s="2" t="s">
        <v>19</v>
      </c>
      <c r="B24">
        <v>-245.08</v>
      </c>
      <c r="C24">
        <v>-223.18</v>
      </c>
      <c r="D24">
        <v>4373.42</v>
      </c>
      <c r="E24">
        <v>-388.53</v>
      </c>
      <c r="F24">
        <v>-389.17</v>
      </c>
      <c r="G24">
        <v>-560.9</v>
      </c>
    </row>
    <row r="25" spans="1:7" s="6" customFormat="1" x14ac:dyDescent="0.25">
      <c r="A25" s="6" t="s">
        <v>20</v>
      </c>
      <c r="B25">
        <v>-112.38</v>
      </c>
      <c r="C25">
        <v>107.26</v>
      </c>
      <c r="D25">
        <v>115.5</v>
      </c>
      <c r="E25">
        <v>158.99</v>
      </c>
      <c r="F25">
        <v>352.06</v>
      </c>
      <c r="G25">
        <v>160.22999999999999</v>
      </c>
    </row>
    <row r="26" spans="1:7" s="6" customFormat="1" x14ac:dyDescent="0.25">
      <c r="A26" s="6" t="s">
        <v>21</v>
      </c>
      <c r="B26">
        <v>391.02</v>
      </c>
      <c r="C26">
        <v>403.01</v>
      </c>
      <c r="D26">
        <v>428.91</v>
      </c>
      <c r="E26">
        <v>567.75</v>
      </c>
      <c r="F26">
        <v>539.91999999999996</v>
      </c>
      <c r="G26">
        <v>699.23</v>
      </c>
    </row>
    <row r="27" spans="1:7" s="6" customFormat="1" x14ac:dyDescent="0.25">
      <c r="A27" s="6" t="s">
        <v>22</v>
      </c>
      <c r="B27">
        <v>201.68</v>
      </c>
      <c r="C27">
        <v>154.57</v>
      </c>
      <c r="D27">
        <v>119.29</v>
      </c>
      <c r="E27">
        <v>145.49</v>
      </c>
      <c r="F27">
        <v>136</v>
      </c>
      <c r="G27">
        <v>158.31</v>
      </c>
    </row>
    <row r="28" spans="1:7" s="6" customFormat="1" x14ac:dyDescent="0.25">
      <c r="A28" s="6" t="s">
        <v>23</v>
      </c>
      <c r="B28">
        <v>2857.32</v>
      </c>
      <c r="C28">
        <v>3255.97</v>
      </c>
      <c r="D28">
        <v>4038.29</v>
      </c>
      <c r="E28">
        <v>5288.87</v>
      </c>
      <c r="F28">
        <v>4447.47</v>
      </c>
      <c r="G28">
        <v>4609.6499999999996</v>
      </c>
    </row>
    <row r="29" spans="1:7" s="6" customFormat="1" x14ac:dyDescent="0.25">
      <c r="A29" s="6" t="s">
        <v>24</v>
      </c>
      <c r="B29">
        <v>738.91</v>
      </c>
      <c r="C29">
        <v>865.45</v>
      </c>
      <c r="D29">
        <v>1039.6199999999999</v>
      </c>
      <c r="E29">
        <v>1356.03</v>
      </c>
      <c r="F29">
        <v>1132.97</v>
      </c>
      <c r="G29">
        <v>1065.05</v>
      </c>
    </row>
    <row r="30" spans="1:7" s="6" customFormat="1" x14ac:dyDescent="0.25">
      <c r="A30" s="6" t="s">
        <v>25</v>
      </c>
      <c r="B30">
        <v>2118.41</v>
      </c>
      <c r="C30">
        <v>2390.52</v>
      </c>
      <c r="D30">
        <v>2998.67</v>
      </c>
      <c r="E30">
        <v>3932.84</v>
      </c>
      <c r="F30">
        <v>3314.5</v>
      </c>
      <c r="G30">
        <v>3544.6</v>
      </c>
    </row>
    <row r="31" spans="1:7" s="6" customFormat="1" x14ac:dyDescent="0.25">
      <c r="A31" s="6" t="s">
        <v>26</v>
      </c>
      <c r="B31">
        <v>1928.4</v>
      </c>
      <c r="C31">
        <v>2121.2399999999998</v>
      </c>
      <c r="D31">
        <v>1677.71</v>
      </c>
      <c r="E31">
        <v>3104.72</v>
      </c>
      <c r="F31">
        <v>2603.34</v>
      </c>
      <c r="G31">
        <v>2313.96</v>
      </c>
    </row>
    <row r="32" spans="1:7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27</v>
      </c>
    </row>
    <row r="41" spans="1:11" s="5" customFormat="1" x14ac:dyDescent="0.25">
      <c r="A41" s="3" t="s">
        <v>11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6" customFormat="1" x14ac:dyDescent="0.25">
      <c r="A42" s="6" t="s">
        <v>12</v>
      </c>
      <c r="B42">
        <v>4600.42</v>
      </c>
      <c r="C42">
        <v>5267.59</v>
      </c>
      <c r="D42">
        <v>4813.95</v>
      </c>
      <c r="E42">
        <v>5104</v>
      </c>
      <c r="F42">
        <v>4779.7299999999996</v>
      </c>
      <c r="G42">
        <v>5503.88</v>
      </c>
      <c r="H42">
        <v>5096.16</v>
      </c>
      <c r="I42">
        <v>5643.61</v>
      </c>
      <c r="J42">
        <v>5667.04</v>
      </c>
      <c r="K42">
        <v>6747.79</v>
      </c>
    </row>
    <row r="43" spans="1:11" s="6" customFormat="1" x14ac:dyDescent="0.25">
      <c r="A43" s="6" t="s">
        <v>28</v>
      </c>
      <c r="B43">
        <v>3505.3</v>
      </c>
      <c r="C43">
        <v>3917.54</v>
      </c>
      <c r="D43">
        <v>3699.62</v>
      </c>
      <c r="E43">
        <v>3936.27</v>
      </c>
      <c r="F43">
        <v>3677.04</v>
      </c>
      <c r="G43">
        <v>4115.58</v>
      </c>
      <c r="H43">
        <v>3995.9</v>
      </c>
      <c r="I43">
        <v>4406.97</v>
      </c>
      <c r="J43">
        <v>4466.09</v>
      </c>
      <c r="K43">
        <v>4976.1899999999996</v>
      </c>
    </row>
    <row r="44" spans="1:11" s="6" customFormat="1" x14ac:dyDescent="0.25">
      <c r="A44" s="6" t="s">
        <v>20</v>
      </c>
      <c r="B44">
        <v>-77</v>
      </c>
      <c r="C44">
        <v>36.83</v>
      </c>
      <c r="D44">
        <v>39.119999999999997</v>
      </c>
      <c r="E44">
        <v>297.68</v>
      </c>
      <c r="F44">
        <v>4.4400000000000004</v>
      </c>
      <c r="G44">
        <v>9.1</v>
      </c>
      <c r="H44">
        <v>4.04</v>
      </c>
      <c r="I44">
        <v>1.64</v>
      </c>
      <c r="J44">
        <v>169.78</v>
      </c>
      <c r="K44">
        <v>-17.72</v>
      </c>
    </row>
    <row r="45" spans="1:11" s="6" customFormat="1" x14ac:dyDescent="0.25">
      <c r="A45" s="6" t="s">
        <v>21</v>
      </c>
      <c r="B45">
        <v>108.69</v>
      </c>
      <c r="C45">
        <v>110.1</v>
      </c>
      <c r="D45">
        <v>112.71</v>
      </c>
      <c r="E45">
        <v>121.6</v>
      </c>
      <c r="F45">
        <v>150.27000000000001</v>
      </c>
      <c r="G45">
        <v>155.34</v>
      </c>
      <c r="H45">
        <v>156.94</v>
      </c>
      <c r="I45">
        <v>163.35</v>
      </c>
      <c r="J45">
        <v>174.41</v>
      </c>
      <c r="K45">
        <v>204.53</v>
      </c>
    </row>
    <row r="46" spans="1:11" s="6" customFormat="1" x14ac:dyDescent="0.25">
      <c r="A46" s="6" t="s">
        <v>22</v>
      </c>
      <c r="B46">
        <v>22.95</v>
      </c>
      <c r="C46">
        <v>26.2</v>
      </c>
      <c r="D46">
        <v>31.68</v>
      </c>
      <c r="E46">
        <v>32.22</v>
      </c>
      <c r="F46">
        <v>34.6</v>
      </c>
      <c r="G46">
        <v>37.5</v>
      </c>
      <c r="H46">
        <v>46.89</v>
      </c>
      <c r="I46">
        <v>46.41</v>
      </c>
      <c r="J46">
        <v>28.25</v>
      </c>
      <c r="K46">
        <v>36.76</v>
      </c>
    </row>
    <row r="47" spans="1:11" s="6" customFormat="1" x14ac:dyDescent="0.25">
      <c r="A47" s="6" t="s">
        <v>23</v>
      </c>
      <c r="B47">
        <v>886.48</v>
      </c>
      <c r="C47">
        <v>1250.58</v>
      </c>
      <c r="D47">
        <v>1009.06</v>
      </c>
      <c r="E47">
        <v>1311.59</v>
      </c>
      <c r="F47">
        <v>922.26</v>
      </c>
      <c r="G47">
        <v>1204.56</v>
      </c>
      <c r="H47">
        <v>900.47</v>
      </c>
      <c r="I47">
        <v>1028.52</v>
      </c>
      <c r="J47">
        <v>1168.07</v>
      </c>
      <c r="K47">
        <v>1512.59</v>
      </c>
    </row>
    <row r="48" spans="1:11" s="6" customFormat="1" x14ac:dyDescent="0.25">
      <c r="A48" s="6" t="s">
        <v>24</v>
      </c>
      <c r="B48">
        <v>230.87</v>
      </c>
      <c r="C48">
        <v>316.41000000000003</v>
      </c>
      <c r="D48">
        <v>262.45999999999998</v>
      </c>
      <c r="E48">
        <v>325.23</v>
      </c>
      <c r="F48">
        <v>226.13</v>
      </c>
      <c r="G48">
        <v>319.14999999999998</v>
      </c>
      <c r="H48">
        <v>241.24</v>
      </c>
      <c r="I48">
        <v>275.32</v>
      </c>
      <c r="J48">
        <v>150.01</v>
      </c>
      <c r="K48">
        <v>398.48</v>
      </c>
    </row>
    <row r="49" spans="1:11" s="6" customFormat="1" x14ac:dyDescent="0.25">
      <c r="A49" s="6" t="s">
        <v>25</v>
      </c>
      <c r="B49">
        <v>655.61</v>
      </c>
      <c r="C49">
        <v>934.17</v>
      </c>
      <c r="D49">
        <v>746.6</v>
      </c>
      <c r="E49">
        <v>986.36</v>
      </c>
      <c r="F49">
        <v>696.13</v>
      </c>
      <c r="G49">
        <v>885.41</v>
      </c>
      <c r="H49">
        <v>659.23</v>
      </c>
      <c r="I49">
        <v>753.2</v>
      </c>
      <c r="J49">
        <v>1018.06</v>
      </c>
      <c r="K49">
        <v>1114.1099999999999</v>
      </c>
    </row>
    <row r="50" spans="1:11" x14ac:dyDescent="0.25">
      <c r="A50" s="6" t="s">
        <v>29</v>
      </c>
      <c r="B50">
        <v>1095.1199999999999</v>
      </c>
      <c r="C50">
        <v>1350.05</v>
      </c>
      <c r="D50">
        <v>1114.33</v>
      </c>
      <c r="E50">
        <v>1167.73</v>
      </c>
      <c r="F50">
        <v>1102.69</v>
      </c>
      <c r="G50">
        <v>1388.3</v>
      </c>
      <c r="H50">
        <v>1100.26</v>
      </c>
      <c r="I50">
        <v>1236.6400000000001</v>
      </c>
      <c r="J50">
        <v>1200.95</v>
      </c>
      <c r="K50">
        <v>1771.6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30</v>
      </c>
    </row>
    <row r="56" spans="1:11" s="5" customFormat="1" x14ac:dyDescent="0.25">
      <c r="A56" s="3" t="s">
        <v>11</v>
      </c>
      <c r="B56" s="4">
        <v>44561</v>
      </c>
      <c r="C56" s="4">
        <v>44926</v>
      </c>
      <c r="D56" s="4">
        <v>45291</v>
      </c>
      <c r="E56" s="4">
        <v>45382</v>
      </c>
      <c r="F56" s="4">
        <v>45747</v>
      </c>
      <c r="G56" s="4">
        <v>46112</v>
      </c>
    </row>
    <row r="57" spans="1:11" x14ac:dyDescent="0.25">
      <c r="A57" s="6" t="s">
        <v>31</v>
      </c>
      <c r="B57">
        <v>96.42</v>
      </c>
      <c r="C57">
        <v>96.42</v>
      </c>
      <c r="D57">
        <v>96.42</v>
      </c>
      <c r="E57">
        <v>96.42</v>
      </c>
      <c r="F57">
        <v>96.42</v>
      </c>
      <c r="G57">
        <v>192.83</v>
      </c>
    </row>
    <row r="58" spans="1:11" x14ac:dyDescent="0.25">
      <c r="A58" s="6" t="s">
        <v>32</v>
      </c>
      <c r="B58">
        <v>1849.96</v>
      </c>
      <c r="C58">
        <v>2362.75</v>
      </c>
      <c r="D58">
        <v>2362.75</v>
      </c>
      <c r="E58">
        <v>3244.47</v>
      </c>
      <c r="F58">
        <v>4020.73</v>
      </c>
      <c r="G58">
        <v>5116.41</v>
      </c>
    </row>
    <row r="59" spans="1:11" x14ac:dyDescent="0.25">
      <c r="A59" s="6" t="s">
        <v>33</v>
      </c>
      <c r="B59">
        <v>266.45999999999998</v>
      </c>
      <c r="C59">
        <v>270.52</v>
      </c>
      <c r="D59">
        <v>270.52</v>
      </c>
      <c r="E59">
        <v>344.53</v>
      </c>
      <c r="F59">
        <v>1166.8499999999999</v>
      </c>
      <c r="G59">
        <v>444.16</v>
      </c>
    </row>
    <row r="60" spans="1:11" x14ac:dyDescent="0.25">
      <c r="A60" s="6" t="s">
        <v>34</v>
      </c>
      <c r="B60">
        <v>6021.29</v>
      </c>
      <c r="C60">
        <v>6249.05</v>
      </c>
      <c r="D60">
        <v>6249.05</v>
      </c>
      <c r="E60">
        <v>6837.64</v>
      </c>
      <c r="F60">
        <v>7039.89</v>
      </c>
      <c r="G60">
        <v>7603.77</v>
      </c>
    </row>
    <row r="61" spans="1:11" s="1" customFormat="1" x14ac:dyDescent="0.25">
      <c r="A61" s="1" t="s">
        <v>35</v>
      </c>
      <c r="B61">
        <v>8234.1299999999992</v>
      </c>
      <c r="C61">
        <v>8978.74</v>
      </c>
      <c r="D61">
        <v>8978.74</v>
      </c>
      <c r="E61">
        <v>10523.06</v>
      </c>
      <c r="F61">
        <v>12323.89</v>
      </c>
      <c r="G61">
        <v>13357.17</v>
      </c>
    </row>
    <row r="62" spans="1:11" x14ac:dyDescent="0.25">
      <c r="A62" s="6" t="s">
        <v>36</v>
      </c>
      <c r="B62">
        <v>2994.67</v>
      </c>
      <c r="C62">
        <v>3043.7</v>
      </c>
      <c r="D62">
        <v>3043.7</v>
      </c>
      <c r="E62">
        <v>3460.25</v>
      </c>
      <c r="F62">
        <v>5473.61</v>
      </c>
      <c r="G62">
        <v>6290.42</v>
      </c>
    </row>
    <row r="63" spans="1:11" x14ac:dyDescent="0.25">
      <c r="A63" s="6" t="s">
        <v>37</v>
      </c>
      <c r="B63">
        <v>246.23</v>
      </c>
      <c r="C63">
        <v>358.36</v>
      </c>
      <c r="D63">
        <v>358.36</v>
      </c>
      <c r="E63">
        <v>1741.71</v>
      </c>
      <c r="F63">
        <v>1172.56</v>
      </c>
      <c r="G63">
        <v>506.98</v>
      </c>
    </row>
    <row r="64" spans="1:11" x14ac:dyDescent="0.25">
      <c r="A64" s="6" t="s">
        <v>38</v>
      </c>
      <c r="B64">
        <v>773.98</v>
      </c>
      <c r="C64">
        <v>777.54</v>
      </c>
      <c r="D64">
        <v>777.54</v>
      </c>
      <c r="E64">
        <v>463.87</v>
      </c>
      <c r="F64">
        <v>705.6</v>
      </c>
      <c r="G64">
        <v>705.6</v>
      </c>
    </row>
    <row r="65" spans="1:7" x14ac:dyDescent="0.25">
      <c r="A65" s="6" t="s">
        <v>39</v>
      </c>
      <c r="B65">
        <v>4219.25</v>
      </c>
      <c r="C65">
        <v>4799.1400000000003</v>
      </c>
      <c r="D65">
        <v>4799.1400000000003</v>
      </c>
      <c r="E65">
        <v>4857.2299999999996</v>
      </c>
      <c r="F65">
        <v>4972.12</v>
      </c>
      <c r="G65">
        <v>5854.17</v>
      </c>
    </row>
    <row r="66" spans="1:7" s="1" customFormat="1" x14ac:dyDescent="0.25">
      <c r="A66" s="1" t="s">
        <v>35</v>
      </c>
      <c r="B66">
        <v>8234.1299999999992</v>
      </c>
      <c r="C66">
        <v>8978.74</v>
      </c>
      <c r="D66">
        <v>8978.74</v>
      </c>
      <c r="E66">
        <v>10523.06</v>
      </c>
      <c r="F66">
        <v>12323.89</v>
      </c>
      <c r="G66">
        <v>13357.17</v>
      </c>
    </row>
    <row r="67" spans="1:7" s="6" customFormat="1" x14ac:dyDescent="0.25">
      <c r="A67" s="6" t="s">
        <v>40</v>
      </c>
      <c r="B67">
        <v>165.97</v>
      </c>
      <c r="C67">
        <v>191.89</v>
      </c>
      <c r="D67">
        <v>191.89</v>
      </c>
      <c r="E67">
        <v>300.45999999999998</v>
      </c>
      <c r="F67">
        <v>363.15</v>
      </c>
      <c r="G67">
        <v>329.47</v>
      </c>
    </row>
    <row r="68" spans="1:7" x14ac:dyDescent="0.25">
      <c r="A68" s="6" t="s">
        <v>41</v>
      </c>
      <c r="B68">
        <v>1592.65</v>
      </c>
      <c r="C68">
        <v>1928.77</v>
      </c>
      <c r="D68">
        <v>1928.77</v>
      </c>
      <c r="E68">
        <v>2089.36</v>
      </c>
      <c r="F68">
        <v>2850.14</v>
      </c>
      <c r="G68">
        <v>2569.2199999999998</v>
      </c>
    </row>
    <row r="69" spans="1:7" x14ac:dyDescent="0.25">
      <c r="A69" s="2" t="s">
        <v>42</v>
      </c>
      <c r="B69">
        <v>735.41</v>
      </c>
      <c r="C69">
        <v>945.55</v>
      </c>
      <c r="D69">
        <v>945.55</v>
      </c>
      <c r="E69">
        <v>778.85</v>
      </c>
      <c r="F69">
        <v>95.65</v>
      </c>
      <c r="G69">
        <v>1340.87</v>
      </c>
    </row>
    <row r="70" spans="1:7" x14ac:dyDescent="0.25">
      <c r="A70" s="2" t="s">
        <v>43</v>
      </c>
      <c r="B70">
        <v>96415716</v>
      </c>
      <c r="C70">
        <v>96415716</v>
      </c>
      <c r="D70">
        <v>96415716</v>
      </c>
      <c r="E70">
        <v>964157160</v>
      </c>
      <c r="F70">
        <v>964157160</v>
      </c>
      <c r="G70">
        <v>1928314320</v>
      </c>
    </row>
    <row r="71" spans="1:7" x14ac:dyDescent="0.25">
      <c r="A71" s="2" t="s">
        <v>44</v>
      </c>
    </row>
    <row r="72" spans="1:7" x14ac:dyDescent="0.25">
      <c r="A72" s="2" t="s">
        <v>45</v>
      </c>
      <c r="B72">
        <v>10</v>
      </c>
      <c r="C72">
        <v>10</v>
      </c>
      <c r="D72">
        <v>10</v>
      </c>
      <c r="E72">
        <v>1</v>
      </c>
      <c r="F72">
        <v>1</v>
      </c>
      <c r="G72">
        <v>1</v>
      </c>
    </row>
    <row r="74" spans="1:7" x14ac:dyDescent="0.25">
      <c r="A74" s="6"/>
    </row>
    <row r="75" spans="1:7" x14ac:dyDescent="0.25">
      <c r="A75" s="6"/>
    </row>
    <row r="76" spans="1:7" x14ac:dyDescent="0.25">
      <c r="A76" s="6"/>
    </row>
    <row r="77" spans="1:7" x14ac:dyDescent="0.25">
      <c r="A77" s="6"/>
    </row>
    <row r="78" spans="1:7" x14ac:dyDescent="0.25">
      <c r="A78" s="6"/>
    </row>
    <row r="79" spans="1:7" x14ac:dyDescent="0.25">
      <c r="A79" s="6"/>
    </row>
    <row r="80" spans="1:7" x14ac:dyDescent="0.25">
      <c r="A80" s="1" t="s">
        <v>46</v>
      </c>
    </row>
    <row r="81" spans="1:7" s="5" customFormat="1" x14ac:dyDescent="0.25">
      <c r="A81" s="3" t="s">
        <v>11</v>
      </c>
      <c r="B81" s="4">
        <v>44561</v>
      </c>
      <c r="C81" s="4">
        <v>44926</v>
      </c>
      <c r="D81" s="4">
        <v>45291</v>
      </c>
      <c r="E81" s="4">
        <v>45382</v>
      </c>
      <c r="F81" s="4">
        <v>45747</v>
      </c>
      <c r="G81" s="4">
        <v>46112</v>
      </c>
    </row>
    <row r="82" spans="1:7" s="1" customFormat="1" x14ac:dyDescent="0.25">
      <c r="A82" s="6" t="s">
        <v>47</v>
      </c>
      <c r="B82">
        <v>2236</v>
      </c>
      <c r="C82">
        <v>2737.43</v>
      </c>
      <c r="D82">
        <v>3392.19</v>
      </c>
      <c r="E82">
        <v>4174.79</v>
      </c>
      <c r="F82">
        <v>2934.53</v>
      </c>
      <c r="G82">
        <v>5047.5600000000004</v>
      </c>
    </row>
    <row r="83" spans="1:7" s="6" customFormat="1" x14ac:dyDescent="0.25">
      <c r="A83" s="6" t="s">
        <v>48</v>
      </c>
      <c r="B83">
        <v>-1920.33</v>
      </c>
      <c r="C83">
        <v>-391.73</v>
      </c>
      <c r="D83">
        <v>-926.99</v>
      </c>
      <c r="E83">
        <v>-1237.42</v>
      </c>
      <c r="F83">
        <v>-1810.9</v>
      </c>
      <c r="G83">
        <v>-623.67999999999995</v>
      </c>
    </row>
    <row r="84" spans="1:7" s="6" customFormat="1" x14ac:dyDescent="0.25">
      <c r="A84" s="6" t="s">
        <v>49</v>
      </c>
      <c r="B84">
        <v>-2019.97</v>
      </c>
      <c r="C84">
        <v>-2122.7399999999998</v>
      </c>
      <c r="D84">
        <v>-2436.4699999999998</v>
      </c>
      <c r="E84">
        <v>-3134.92</v>
      </c>
      <c r="F84">
        <v>-1846.3</v>
      </c>
      <c r="G84">
        <v>-3179.49</v>
      </c>
    </row>
    <row r="85" spans="1:7" s="1" customFormat="1" x14ac:dyDescent="0.25">
      <c r="A85" s="6" t="s">
        <v>50</v>
      </c>
      <c r="B85">
        <v>-1704.3</v>
      </c>
      <c r="C85">
        <v>222.96</v>
      </c>
      <c r="D85">
        <v>28.73</v>
      </c>
      <c r="E85">
        <v>-197.55</v>
      </c>
      <c r="F85">
        <v>-722.67</v>
      </c>
      <c r="G85">
        <v>1244.3900000000001</v>
      </c>
    </row>
    <row r="86" spans="1:7" x14ac:dyDescent="0.25">
      <c r="A86" s="6"/>
    </row>
    <row r="87" spans="1:7" x14ac:dyDescent="0.25">
      <c r="A87" s="6"/>
    </row>
    <row r="88" spans="1:7" x14ac:dyDescent="0.25">
      <c r="A88" s="6"/>
    </row>
    <row r="89" spans="1:7" x14ac:dyDescent="0.25">
      <c r="A89" s="6"/>
    </row>
    <row r="90" spans="1:7" s="1" customFormat="1" x14ac:dyDescent="0.25">
      <c r="A90" s="1" t="s">
        <v>51</v>
      </c>
      <c r="B90">
        <v>985.29</v>
      </c>
      <c r="C90">
        <v>980.3</v>
      </c>
      <c r="D90">
        <v>1329.02</v>
      </c>
      <c r="E90">
        <v>1311.18</v>
      </c>
      <c r="F90">
        <v>1125.3800000000001</v>
      </c>
      <c r="G90">
        <v>1174.8</v>
      </c>
    </row>
    <row r="92" spans="1:7" s="1" customFormat="1" x14ac:dyDescent="0.25">
      <c r="A92" s="1" t="s">
        <v>52</v>
      </c>
    </row>
    <row r="93" spans="1:7" x14ac:dyDescent="0.25">
      <c r="A93" s="2" t="s">
        <v>53</v>
      </c>
      <c r="B93" s="7">
        <v>192.8</v>
      </c>
      <c r="C93" s="7">
        <v>192.8</v>
      </c>
      <c r="D93" s="7">
        <v>192.8</v>
      </c>
      <c r="E93" s="7">
        <v>192.83</v>
      </c>
      <c r="F93" s="7">
        <v>192.83</v>
      </c>
      <c r="G93" s="7">
        <v>192.83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9E9BC3B9-32CD-40AF-9E32-EE20607F1D0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02C5-E488-452D-B8AA-C14E4586885D}">
  <sheetPr>
    <tabColor theme="5" tint="0.39997558519241921"/>
  </sheetPr>
  <dimension ref="B2:H33"/>
  <sheetViews>
    <sheetView topLeftCell="A15" zoomScaleNormal="100" workbookViewId="0">
      <selection activeCell="B37" sqref="B37"/>
    </sheetView>
  </sheetViews>
  <sheetFormatPr defaultColWidth="9.85546875" defaultRowHeight="15" x14ac:dyDescent="0.25"/>
  <cols>
    <col min="1" max="1" width="5.28515625" customWidth="1"/>
    <col min="2" max="2" width="39" customWidth="1"/>
    <col min="3" max="3" width="16.5703125" customWidth="1"/>
    <col min="4" max="4" width="12.7109375" customWidth="1"/>
    <col min="5" max="5" width="14" customWidth="1"/>
    <col min="6" max="6" width="13.7109375" customWidth="1"/>
    <col min="7" max="7" width="14.7109375" customWidth="1"/>
    <col min="8" max="8" width="11.7109375" customWidth="1"/>
  </cols>
  <sheetData>
    <row r="2" spans="2:8" ht="24.75" customHeight="1" x14ac:dyDescent="0.25">
      <c r="B2" s="32" t="s">
        <v>115</v>
      </c>
    </row>
    <row r="3" spans="2:8" ht="15.75" thickBot="1" x14ac:dyDescent="0.3">
      <c r="B3" s="33"/>
      <c r="C3" s="34">
        <v>44531</v>
      </c>
      <c r="D3" s="34">
        <v>44896</v>
      </c>
      <c r="E3" s="34">
        <v>45261</v>
      </c>
      <c r="F3" s="34">
        <v>45352</v>
      </c>
      <c r="G3" s="34">
        <v>45717</v>
      </c>
      <c r="H3" s="34">
        <v>46082</v>
      </c>
    </row>
    <row r="4" spans="2:8" ht="16.5" thickTop="1" thickBot="1" x14ac:dyDescent="0.3">
      <c r="B4" s="35" t="s">
        <v>116</v>
      </c>
      <c r="C4" s="36">
        <v>2236</v>
      </c>
      <c r="D4" s="36">
        <v>2737</v>
      </c>
      <c r="E4" s="36">
        <v>3392</v>
      </c>
      <c r="F4" s="36">
        <v>4175</v>
      </c>
      <c r="G4" s="36">
        <v>2935</v>
      </c>
      <c r="H4" s="36">
        <v>5048</v>
      </c>
    </row>
    <row r="5" spans="2:8" ht="15.75" thickTop="1" x14ac:dyDescent="0.25">
      <c r="B5" s="37" t="s">
        <v>87</v>
      </c>
      <c r="C5" s="36">
        <v>3136</v>
      </c>
      <c r="D5" s="36">
        <v>3609</v>
      </c>
      <c r="E5" s="36">
        <v>4388</v>
      </c>
      <c r="F5" s="36">
        <v>5722</v>
      </c>
      <c r="G5" s="36">
        <v>4672</v>
      </c>
      <c r="H5" s="36">
        <v>5326</v>
      </c>
    </row>
    <row r="6" spans="2:8" x14ac:dyDescent="0.25">
      <c r="B6" s="38" t="s">
        <v>40</v>
      </c>
      <c r="C6" s="39">
        <v>-2</v>
      </c>
      <c r="D6" s="39">
        <v>-28</v>
      </c>
      <c r="E6" s="39">
        <v>-11</v>
      </c>
      <c r="F6" s="39">
        <v>-109</v>
      </c>
      <c r="G6" s="39">
        <v>-70</v>
      </c>
      <c r="H6" s="39">
        <v>34</v>
      </c>
    </row>
    <row r="7" spans="2:8" x14ac:dyDescent="0.25">
      <c r="B7" s="38" t="s">
        <v>41</v>
      </c>
      <c r="C7" s="39">
        <v>-169</v>
      </c>
      <c r="D7" s="39">
        <v>-336</v>
      </c>
      <c r="E7" s="39">
        <v>56</v>
      </c>
      <c r="F7" s="39">
        <v>-161</v>
      </c>
      <c r="G7" s="39">
        <v>-767</v>
      </c>
      <c r="H7" s="39">
        <v>281</v>
      </c>
    </row>
    <row r="8" spans="2:8" x14ac:dyDescent="0.25">
      <c r="B8" s="38" t="s">
        <v>88</v>
      </c>
      <c r="C8" s="39">
        <v>217</v>
      </c>
      <c r="D8" s="39">
        <v>178</v>
      </c>
      <c r="E8" s="39">
        <v>68</v>
      </c>
      <c r="F8" s="39">
        <v>310</v>
      </c>
      <c r="G8" s="39">
        <v>134</v>
      </c>
      <c r="H8" s="39">
        <v>588</v>
      </c>
    </row>
    <row r="9" spans="2:8" x14ac:dyDescent="0.25">
      <c r="B9" s="38" t="s">
        <v>89</v>
      </c>
      <c r="C9" s="39">
        <v>-40</v>
      </c>
      <c r="D9" s="39">
        <v>-30</v>
      </c>
      <c r="E9" s="39">
        <v>-30</v>
      </c>
      <c r="F9" s="39">
        <v>-21</v>
      </c>
      <c r="G9" s="39">
        <v>-199</v>
      </c>
      <c r="H9" s="39">
        <v>-73</v>
      </c>
    </row>
    <row r="10" spans="2:8" x14ac:dyDescent="0.25">
      <c r="B10" s="38" t="s">
        <v>117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</row>
    <row r="11" spans="2:8" ht="15.75" thickBot="1" x14ac:dyDescent="0.3">
      <c r="B11" s="38" t="s">
        <v>90</v>
      </c>
      <c r="C11" s="39">
        <v>-179</v>
      </c>
      <c r="D11" s="39">
        <v>185</v>
      </c>
      <c r="E11" s="39">
        <v>-19</v>
      </c>
      <c r="F11" s="39">
        <v>-268</v>
      </c>
      <c r="G11" s="39">
        <v>155</v>
      </c>
      <c r="H11" s="39">
        <v>-37</v>
      </c>
    </row>
    <row r="12" spans="2:8" ht="15.75" thickTop="1" x14ac:dyDescent="0.25">
      <c r="B12" s="37" t="s">
        <v>91</v>
      </c>
      <c r="C12" s="40">
        <v>-172</v>
      </c>
      <c r="D12" s="40">
        <v>-30</v>
      </c>
      <c r="E12" s="40">
        <v>63</v>
      </c>
      <c r="F12" s="40">
        <v>-249</v>
      </c>
      <c r="G12" s="40">
        <v>-747</v>
      </c>
      <c r="H12" s="40">
        <v>793</v>
      </c>
    </row>
    <row r="13" spans="2:8" ht="15.75" thickBot="1" x14ac:dyDescent="0.3">
      <c r="B13" s="38" t="s">
        <v>92</v>
      </c>
      <c r="C13" s="39">
        <v>-729</v>
      </c>
      <c r="D13" s="39">
        <v>-841</v>
      </c>
      <c r="E13" s="41">
        <v>-1059</v>
      </c>
      <c r="F13" s="41">
        <v>-1299</v>
      </c>
      <c r="G13" s="39">
        <v>-990</v>
      </c>
      <c r="H13" s="41">
        <v>-1071</v>
      </c>
    </row>
    <row r="14" spans="2:8" ht="15.75" thickTop="1" x14ac:dyDescent="0.25">
      <c r="B14" s="42" t="s">
        <v>118</v>
      </c>
      <c r="C14" s="44">
        <v>-1920</v>
      </c>
      <c r="D14" s="43">
        <v>-392</v>
      </c>
      <c r="E14" s="43">
        <v>-927</v>
      </c>
      <c r="F14" s="44">
        <v>-1237</v>
      </c>
      <c r="G14" s="44">
        <v>-1811</v>
      </c>
      <c r="H14" s="43">
        <v>-624</v>
      </c>
    </row>
    <row r="15" spans="2:8" x14ac:dyDescent="0.25">
      <c r="B15" s="45" t="s">
        <v>95</v>
      </c>
      <c r="C15" s="46">
        <v>-735</v>
      </c>
      <c r="D15" s="46">
        <v>-550</v>
      </c>
      <c r="E15" s="47">
        <v>-1371</v>
      </c>
      <c r="F15" s="47">
        <v>-1883</v>
      </c>
      <c r="G15" s="47">
        <v>-2009</v>
      </c>
      <c r="H15" s="46">
        <v>-830</v>
      </c>
    </row>
    <row r="16" spans="2:8" x14ac:dyDescent="0.25">
      <c r="B16" s="45" t="s">
        <v>96</v>
      </c>
      <c r="C16" s="46">
        <v>4</v>
      </c>
      <c r="D16" s="46">
        <v>9</v>
      </c>
      <c r="E16" s="46">
        <v>7</v>
      </c>
      <c r="F16" s="46">
        <v>4</v>
      </c>
      <c r="G16" s="46">
        <v>4</v>
      </c>
      <c r="H16" s="46">
        <v>3</v>
      </c>
    </row>
    <row r="17" spans="2:8" x14ac:dyDescent="0.25">
      <c r="B17" s="45" t="s">
        <v>97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</row>
    <row r="18" spans="2:8" x14ac:dyDescent="0.25">
      <c r="B18" s="45" t="s">
        <v>98</v>
      </c>
      <c r="C18" s="46">
        <v>0</v>
      </c>
      <c r="D18" s="46">
        <v>25</v>
      </c>
      <c r="E18" s="46">
        <v>312</v>
      </c>
      <c r="F18" s="46">
        <v>284</v>
      </c>
      <c r="G18" s="46">
        <v>424</v>
      </c>
      <c r="H18" s="46">
        <v>0</v>
      </c>
    </row>
    <row r="19" spans="2:8" x14ac:dyDescent="0.25">
      <c r="B19" s="45" t="s">
        <v>99</v>
      </c>
      <c r="C19" s="46">
        <v>125</v>
      </c>
      <c r="D19" s="46">
        <v>103</v>
      </c>
      <c r="E19" s="46">
        <v>0</v>
      </c>
      <c r="F19" s="46">
        <v>167</v>
      </c>
      <c r="G19" s="46">
        <v>76</v>
      </c>
      <c r="H19" s="46">
        <v>34</v>
      </c>
    </row>
    <row r="20" spans="2:8" x14ac:dyDescent="0.25">
      <c r="B20" s="45" t="s">
        <v>100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</row>
    <row r="21" spans="2:8" x14ac:dyDescent="0.25">
      <c r="B21" s="45" t="s">
        <v>101</v>
      </c>
      <c r="C21" s="46">
        <v>0</v>
      </c>
      <c r="D21" s="46">
        <v>0</v>
      </c>
      <c r="E21" s="46">
        <v>0</v>
      </c>
      <c r="F21" s="46">
        <v>0</v>
      </c>
      <c r="G21" s="46">
        <v>-706</v>
      </c>
      <c r="H21" s="46">
        <v>0</v>
      </c>
    </row>
    <row r="22" spans="2:8" ht="15.75" thickBot="1" x14ac:dyDescent="0.3">
      <c r="B22" s="45" t="s">
        <v>102</v>
      </c>
      <c r="C22" s="47">
        <v>-1314</v>
      </c>
      <c r="D22" s="46">
        <v>20</v>
      </c>
      <c r="E22" s="46">
        <v>126</v>
      </c>
      <c r="F22" s="46">
        <v>190</v>
      </c>
      <c r="G22" s="46">
        <v>400</v>
      </c>
      <c r="H22" s="46">
        <v>168</v>
      </c>
    </row>
    <row r="23" spans="2:8" ht="15.75" thickTop="1" x14ac:dyDescent="0.25">
      <c r="B23" s="35" t="s">
        <v>119</v>
      </c>
      <c r="C23" s="36">
        <v>-2020</v>
      </c>
      <c r="D23" s="36">
        <v>-2123</v>
      </c>
      <c r="E23" s="36">
        <v>-2436</v>
      </c>
      <c r="F23" s="36">
        <v>-3135</v>
      </c>
      <c r="G23" s="36">
        <v>-1846</v>
      </c>
      <c r="H23" s="36">
        <v>-3179</v>
      </c>
    </row>
    <row r="24" spans="2:8" x14ac:dyDescent="0.25">
      <c r="B24" s="38" t="s">
        <v>106</v>
      </c>
      <c r="C24" s="39">
        <v>24</v>
      </c>
      <c r="D24" s="39">
        <v>0</v>
      </c>
      <c r="E24" s="39">
        <v>0</v>
      </c>
      <c r="F24" s="39">
        <v>0</v>
      </c>
      <c r="G24" s="39">
        <v>726</v>
      </c>
      <c r="H24" s="39">
        <v>0</v>
      </c>
    </row>
    <row r="25" spans="2:8" x14ac:dyDescent="0.25">
      <c r="B25" s="38" t="s">
        <v>107</v>
      </c>
      <c r="C25" s="39">
        <v>-24</v>
      </c>
      <c r="D25" s="39">
        <v>0</v>
      </c>
      <c r="E25" s="39">
        <v>0</v>
      </c>
      <c r="F25" s="39">
        <v>0</v>
      </c>
      <c r="G25" s="39">
        <v>0</v>
      </c>
      <c r="H25" s="39">
        <v>-726</v>
      </c>
    </row>
    <row r="26" spans="2:8" x14ac:dyDescent="0.25">
      <c r="B26" s="38" t="s">
        <v>120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</row>
    <row r="27" spans="2:8" x14ac:dyDescent="0.25">
      <c r="B27" s="38" t="s">
        <v>108</v>
      </c>
      <c r="C27" s="39">
        <v>-9</v>
      </c>
      <c r="D27" s="39">
        <v>-18</v>
      </c>
      <c r="E27" s="39">
        <v>-20</v>
      </c>
      <c r="F27" s="39">
        <v>-26</v>
      </c>
      <c r="G27" s="39">
        <v>-34</v>
      </c>
      <c r="H27" s="39">
        <v>-50</v>
      </c>
    </row>
    <row r="28" spans="2:8" x14ac:dyDescent="0.25">
      <c r="B28" s="38" t="s">
        <v>109</v>
      </c>
      <c r="C28" s="41">
        <v>-1928</v>
      </c>
      <c r="D28" s="41">
        <v>-2025</v>
      </c>
      <c r="E28" s="41">
        <v>-2333</v>
      </c>
      <c r="F28" s="41">
        <v>-3008</v>
      </c>
      <c r="G28" s="41">
        <v>-2459</v>
      </c>
      <c r="H28" s="41">
        <v>-2314</v>
      </c>
    </row>
    <row r="29" spans="2:8" x14ac:dyDescent="0.25">
      <c r="B29" s="38" t="s">
        <v>110</v>
      </c>
      <c r="C29" s="39">
        <v>-79</v>
      </c>
      <c r="D29" s="39">
        <v>-73</v>
      </c>
      <c r="E29" s="39">
        <v>-166</v>
      </c>
      <c r="F29" s="39">
        <v>-100</v>
      </c>
      <c r="G29" s="39">
        <v>-76</v>
      </c>
      <c r="H29" s="39">
        <v>-86</v>
      </c>
    </row>
    <row r="30" spans="2:8" ht="15.75" thickBot="1" x14ac:dyDescent="0.3">
      <c r="B30" s="38" t="s">
        <v>111</v>
      </c>
      <c r="C30" s="39">
        <v>-3</v>
      </c>
      <c r="D30" s="39">
        <v>-7</v>
      </c>
      <c r="E30" s="39">
        <v>83</v>
      </c>
      <c r="F30" s="39">
        <v>-1</v>
      </c>
      <c r="G30" s="39">
        <v>-4</v>
      </c>
      <c r="H30" s="39">
        <v>-3</v>
      </c>
    </row>
    <row r="31" spans="2:8" ht="15.75" thickTop="1" x14ac:dyDescent="0.25">
      <c r="B31" s="42" t="s">
        <v>50</v>
      </c>
      <c r="C31" s="44">
        <v>-1704</v>
      </c>
      <c r="D31" s="43">
        <v>223</v>
      </c>
      <c r="E31" s="43">
        <v>29</v>
      </c>
      <c r="F31" s="43">
        <v>-198</v>
      </c>
      <c r="G31" s="43">
        <v>-723</v>
      </c>
      <c r="H31" s="44">
        <v>1244</v>
      </c>
    </row>
    <row r="32" spans="2:8" x14ac:dyDescent="0.25">
      <c r="B32" s="48" t="s">
        <v>121</v>
      </c>
      <c r="C32" s="50">
        <v>1505</v>
      </c>
      <c r="D32" s="50">
        <v>2197</v>
      </c>
      <c r="E32" s="50">
        <v>2028</v>
      </c>
      <c r="F32" s="50">
        <v>2296</v>
      </c>
      <c r="G32" s="49">
        <v>930</v>
      </c>
      <c r="H32" s="50">
        <v>4221</v>
      </c>
    </row>
    <row r="33" spans="2:8" x14ac:dyDescent="0.25">
      <c r="B33" s="51" t="s">
        <v>122</v>
      </c>
      <c r="C33" s="52">
        <v>0.83</v>
      </c>
      <c r="D33" s="52">
        <v>0.97</v>
      </c>
      <c r="E33" s="52">
        <v>1</v>
      </c>
      <c r="F33" s="52">
        <v>0.94</v>
      </c>
      <c r="G33" s="52">
        <v>0.82</v>
      </c>
      <c r="H33" s="52">
        <v>1.1499999999999999</v>
      </c>
    </row>
  </sheetData>
  <hyperlinks>
    <hyperlink ref="B2" r:id="rId1" location="cash-flow" display="https://www.screener.in/company/NESTLEIND/consolidated/ - cash-flow" xr:uid="{188DE9D4-AB98-45E6-AD44-352E0CF099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Analysis</vt:lpstr>
      <vt:lpstr>Histriocial FS</vt:lpstr>
      <vt:lpstr>Ratio Analysis </vt:lpstr>
      <vt:lpstr>Data Sheet 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Patidar</dc:creator>
  <cp:lastModifiedBy>Govind Patidar</cp:lastModifiedBy>
  <dcterms:created xsi:type="dcterms:W3CDTF">2026-07-03T16:45:09Z</dcterms:created>
  <dcterms:modified xsi:type="dcterms:W3CDTF">2026-07-12T13:49:36Z</dcterms:modified>
</cp:coreProperties>
</file>