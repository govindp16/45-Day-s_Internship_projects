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DB12BE-8454-4218-860A-9C5C41DDC11E}" xr6:coauthVersionLast="47" xr6:coauthVersionMax="47" xr10:uidLastSave="{00000000-0000-0000-0000-000000000000}"/>
  <bookViews>
    <workbookView xWindow="-120" yWindow="-120" windowWidth="20730" windowHeight="11160" tabRatio="856" activeTab="7" xr2:uid="{00000000-000D-0000-FFFF-FFFF00000000}"/>
  </bookViews>
  <sheets>
    <sheet name="HUL_Financials" sheetId="1" r:id="rId1"/>
    <sheet name="HUL_BalanceSheet" sheetId="2" r:id="rId2"/>
    <sheet name="HUL_CashFlow" sheetId="3" r:id="rId3"/>
    <sheet name="Nestle_Financials" sheetId="4" r:id="rId4"/>
    <sheet name="Nestle_BalanceSheet" sheetId="5" r:id="rId5"/>
    <sheet name="Nestle_CashFlow" sheetId="6" r:id="rId6"/>
    <sheet name="Ratios" sheetId="7" r:id="rId7"/>
    <sheet name="Combined_Data" sheetId="8" r:id="rId8"/>
  </sheets>
  <calcPr calcId="191029" iterate="1" iterateDelta="9.9999999999994451E-4"/>
</workbook>
</file>

<file path=xl/calcChain.xml><?xml version="1.0" encoding="utf-8"?>
<calcChain xmlns="http://schemas.openxmlformats.org/spreadsheetml/2006/main">
  <c r="N9" i="8" l="1"/>
  <c r="N10" i="8"/>
  <c r="N11" i="8"/>
  <c r="N12" i="8"/>
  <c r="N13" i="8"/>
  <c r="N8" i="8"/>
  <c r="M9" i="8"/>
  <c r="M10" i="8"/>
  <c r="M11" i="8"/>
  <c r="M12" i="8"/>
  <c r="M13" i="8"/>
  <c r="M8" i="8"/>
  <c r="I9" i="8"/>
  <c r="I10" i="8"/>
  <c r="I11" i="8"/>
  <c r="I12" i="8"/>
  <c r="I13" i="8"/>
  <c r="I8" i="8"/>
  <c r="H9" i="8"/>
  <c r="H10" i="8"/>
  <c r="H11" i="8"/>
  <c r="H12" i="8"/>
  <c r="H13" i="8"/>
  <c r="H8" i="8"/>
  <c r="G9" i="8"/>
  <c r="G10" i="8"/>
  <c r="G11" i="8"/>
  <c r="G12" i="8"/>
  <c r="G13" i="8"/>
  <c r="G8" i="8"/>
  <c r="F9" i="8"/>
  <c r="F10" i="8"/>
  <c r="F11" i="8"/>
  <c r="F12" i="8"/>
  <c r="F13" i="8"/>
  <c r="F8" i="8"/>
  <c r="E9" i="8"/>
  <c r="E10" i="8"/>
  <c r="E11" i="8"/>
  <c r="E12" i="8"/>
  <c r="E13" i="8"/>
  <c r="E8" i="8"/>
  <c r="D9" i="8"/>
  <c r="D10" i="8"/>
  <c r="D11" i="8"/>
  <c r="D12" i="8"/>
  <c r="D13" i="8"/>
  <c r="D8" i="8"/>
  <c r="C9" i="8"/>
  <c r="C10" i="8"/>
  <c r="C11" i="8"/>
  <c r="C12" i="8"/>
  <c r="C13" i="8"/>
  <c r="C8" i="8"/>
  <c r="O3" i="8"/>
  <c r="O4" i="8"/>
  <c r="O5" i="8"/>
  <c r="O6" i="8"/>
  <c r="O7" i="8"/>
  <c r="O8" i="8"/>
  <c r="O9" i="8"/>
  <c r="O10" i="8"/>
  <c r="O11" i="8"/>
  <c r="O12" i="8"/>
  <c r="O13" i="8"/>
  <c r="O2" i="8"/>
  <c r="N3" i="8"/>
  <c r="N4" i="8"/>
  <c r="N5" i="8"/>
  <c r="N6" i="8"/>
  <c r="N7" i="8"/>
  <c r="N2" i="8"/>
  <c r="M3" i="8"/>
  <c r="M4" i="8"/>
  <c r="M5" i="8"/>
  <c r="M6" i="8"/>
  <c r="M7" i="8"/>
  <c r="M2" i="8"/>
  <c r="L3" i="8"/>
  <c r="L4" i="8"/>
  <c r="L5" i="8"/>
  <c r="L6" i="8"/>
  <c r="L7" i="8"/>
  <c r="L8" i="8"/>
  <c r="L9" i="8"/>
  <c r="L10" i="8"/>
  <c r="L11" i="8"/>
  <c r="L12" i="8"/>
  <c r="L13" i="8"/>
  <c r="L2" i="8"/>
  <c r="K3" i="8"/>
  <c r="K4" i="8"/>
  <c r="K5" i="8"/>
  <c r="K6" i="8"/>
  <c r="K7" i="8"/>
  <c r="K8" i="8"/>
  <c r="K9" i="8"/>
  <c r="K10" i="8"/>
  <c r="K11" i="8"/>
  <c r="K12" i="8"/>
  <c r="K13" i="8"/>
  <c r="K2" i="8"/>
  <c r="J8" i="8"/>
  <c r="J9" i="8"/>
  <c r="J10" i="8"/>
  <c r="J11" i="8"/>
  <c r="J12" i="8"/>
  <c r="J13" i="8"/>
  <c r="J3" i="8"/>
  <c r="J4" i="8"/>
  <c r="J5" i="8"/>
  <c r="J6" i="8"/>
  <c r="J7" i="8"/>
  <c r="J2" i="8"/>
  <c r="I3" i="8"/>
  <c r="I4" i="8"/>
  <c r="I5" i="8"/>
  <c r="I6" i="8"/>
  <c r="I7" i="8"/>
  <c r="I2" i="8"/>
  <c r="H3" i="8"/>
  <c r="H4" i="8"/>
  <c r="H5" i="8"/>
  <c r="H6" i="8"/>
  <c r="H7" i="8"/>
  <c r="H2" i="8"/>
  <c r="G3" i="8"/>
  <c r="G4" i="8"/>
  <c r="G5" i="8"/>
  <c r="G6" i="8"/>
  <c r="G7" i="8"/>
  <c r="G2" i="8"/>
  <c r="F3" i="8"/>
  <c r="F4" i="8"/>
  <c r="F5" i="8"/>
  <c r="F6" i="8"/>
  <c r="F7" i="8"/>
  <c r="F2" i="8"/>
  <c r="E3" i="8"/>
  <c r="E4" i="8"/>
  <c r="E5" i="8"/>
  <c r="E6" i="8"/>
  <c r="E7" i="8"/>
  <c r="E2" i="8"/>
  <c r="D3" i="8"/>
  <c r="D4" i="8"/>
  <c r="D5" i="8"/>
  <c r="D6" i="8"/>
  <c r="D7" i="8"/>
  <c r="D2" i="8"/>
  <c r="C3" i="8"/>
  <c r="C4" i="8"/>
  <c r="C5" i="8"/>
  <c r="C6" i="8"/>
  <c r="C7" i="8"/>
  <c r="C2" i="8"/>
  <c r="H3" i="5"/>
  <c r="H4" i="5"/>
  <c r="H5" i="5"/>
  <c r="H6" i="5"/>
  <c r="H7" i="5"/>
  <c r="H2" i="5"/>
  <c r="H3" i="2"/>
  <c r="H4" i="2"/>
  <c r="H5" i="2"/>
  <c r="H6" i="2"/>
  <c r="H7" i="2"/>
  <c r="H2" i="2"/>
</calcChain>
</file>

<file path=xl/sharedStrings.xml><?xml version="1.0" encoding="utf-8"?>
<sst xmlns="http://schemas.openxmlformats.org/spreadsheetml/2006/main" count="162" uniqueCount="42">
  <si>
    <t>Financial Year</t>
  </si>
  <si>
    <t>Revenue</t>
  </si>
  <si>
    <t>COGS</t>
  </si>
  <si>
    <t>Gross Profit</t>
  </si>
  <si>
    <t>EBITDA</t>
  </si>
  <si>
    <t>EBIT</t>
  </si>
  <si>
    <t>Net Profit</t>
  </si>
  <si>
    <t>EPS</t>
  </si>
  <si>
    <t>Dividend</t>
  </si>
  <si>
    <t>FY2021</t>
  </si>
  <si>
    <t>FY2022</t>
  </si>
  <si>
    <t>FY2023</t>
  </si>
  <si>
    <t>FY2024</t>
  </si>
  <si>
    <t>FY2025</t>
  </si>
  <si>
    <t>FY2026</t>
  </si>
  <si>
    <t>Total Assets</t>
  </si>
  <si>
    <t>Current Assets</t>
  </si>
  <si>
    <t>Non-Current Assets</t>
  </si>
  <si>
    <t>Cash</t>
  </si>
  <si>
    <t>Inventory</t>
  </si>
  <si>
    <t>Equity</t>
  </si>
  <si>
    <t>Total Debt</t>
  </si>
  <si>
    <t>Current Liabilities</t>
  </si>
  <si>
    <t>Non-Current Liabilities</t>
  </si>
  <si>
    <t>Operating Cash Flow</t>
  </si>
  <si>
    <t>Investing Cash Flow</t>
  </si>
  <si>
    <t>Financing Cash Flow</t>
  </si>
  <si>
    <t>Capital Expenditure</t>
  </si>
  <si>
    <t>Free Cash Flow</t>
  </si>
  <si>
    <t>Company</t>
  </si>
  <si>
    <t>Current Ratio</t>
  </si>
  <si>
    <t>Quick Ratio</t>
  </si>
  <si>
    <t>Debt to Equity</t>
  </si>
  <si>
    <t>ROA</t>
  </si>
  <si>
    <t>ROE</t>
  </si>
  <si>
    <t>Gross Margin</t>
  </si>
  <si>
    <t>Net Profit Margin</t>
  </si>
  <si>
    <t>Asset Turnover</t>
  </si>
  <si>
    <t>Interest Coverage</t>
  </si>
  <si>
    <t>Dividend Yield</t>
  </si>
  <si>
    <t>HUL</t>
  </si>
  <si>
    <t>Nestle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</si>
</sst>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I2" sqref="I2:I7"/>
    </sheetView>
  </sheetViews>
  <sheetFormatPr defaultRowHeight="15"/>
  <cols>
    <col min="2" max="2" width="8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47028</v>
      </c>
      <c r="C2">
        <v>25301</v>
      </c>
      <c r="D2">
        <v>21727</v>
      </c>
      <c r="E2">
        <v>11626</v>
      </c>
      <c r="F2">
        <v>10435</v>
      </c>
      <c r="G2">
        <v>7829</v>
      </c>
      <c r="H2">
        <v>33.320565202587673</v>
      </c>
      <c r="I2">
        <v>40.506894790602651</v>
      </c>
    </row>
    <row r="3" spans="1:9">
      <c r="A3" t="s">
        <v>10</v>
      </c>
      <c r="B3">
        <v>52446</v>
      </c>
      <c r="C3">
        <v>29066</v>
      </c>
      <c r="D3">
        <v>23380</v>
      </c>
      <c r="E3">
        <v>12857</v>
      </c>
      <c r="F3">
        <v>11660</v>
      </c>
      <c r="G3">
        <v>8673</v>
      </c>
      <c r="H3">
        <v>36.912665985699689</v>
      </c>
      <c r="I3">
        <v>34.005788219271366</v>
      </c>
    </row>
    <row r="4" spans="1:9">
      <c r="A4" t="s">
        <v>11</v>
      </c>
      <c r="B4">
        <v>60580</v>
      </c>
      <c r="C4">
        <v>35381</v>
      </c>
      <c r="D4">
        <v>25199</v>
      </c>
      <c r="E4">
        <v>14147</v>
      </c>
      <c r="F4">
        <v>12896</v>
      </c>
      <c r="G4">
        <v>9695</v>
      </c>
      <c r="H4">
        <v>41.262342526387471</v>
      </c>
      <c r="I4">
        <v>39.006639427987743</v>
      </c>
    </row>
    <row r="5" spans="1:9">
      <c r="A5" t="s">
        <v>12</v>
      </c>
      <c r="B5">
        <v>61896</v>
      </c>
      <c r="C5">
        <v>33651</v>
      </c>
      <c r="D5">
        <v>28245</v>
      </c>
      <c r="E5">
        <v>14659</v>
      </c>
      <c r="F5">
        <v>13109</v>
      </c>
      <c r="G5">
        <v>9465</v>
      </c>
      <c r="H5">
        <v>40.283452502553622</v>
      </c>
      <c r="I5">
        <v>42.007150153217566</v>
      </c>
    </row>
    <row r="6" spans="1:9">
      <c r="A6" t="s">
        <v>13</v>
      </c>
      <c r="B6">
        <v>61328</v>
      </c>
      <c r="C6">
        <v>33519</v>
      </c>
      <c r="D6">
        <v>27809</v>
      </c>
      <c r="E6">
        <v>14698</v>
      </c>
      <c r="F6">
        <v>13064</v>
      </c>
      <c r="G6">
        <v>9316</v>
      </c>
      <c r="H6">
        <v>39.649302008852572</v>
      </c>
      <c r="I6">
        <v>53.009022812393596</v>
      </c>
    </row>
    <row r="7" spans="1:9">
      <c r="A7" t="s">
        <v>14</v>
      </c>
      <c r="B7">
        <v>64468</v>
      </c>
      <c r="C7">
        <v>35634</v>
      </c>
      <c r="D7">
        <v>28834</v>
      </c>
      <c r="E7">
        <v>15039</v>
      </c>
      <c r="F7">
        <v>13296</v>
      </c>
      <c r="G7">
        <v>10136</v>
      </c>
      <c r="H7">
        <v>43.139257745999316</v>
      </c>
      <c r="I7">
        <v>41.006979911474289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H2" sqref="H2:H7"/>
    </sheetView>
  </sheetViews>
  <sheetFormatPr defaultRowHeight="15"/>
  <cols>
    <col min="8" max="8" width="10.140625" bestFit="1" customWidth="1"/>
    <col min="9" max="9" width="16.85546875" bestFit="1" customWidth="1"/>
    <col min="10" max="10" width="21.5703125" bestFit="1" customWidth="1"/>
  </cols>
  <sheetData>
    <row r="1" spans="1:1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1">
      <c r="A2" t="s">
        <v>9</v>
      </c>
      <c r="B2">
        <v>68740</v>
      </c>
      <c r="C2">
        <v>9808</v>
      </c>
      <c r="D2">
        <v>58932</v>
      </c>
      <c r="E2">
        <v>4471</v>
      </c>
      <c r="F2">
        <v>3579</v>
      </c>
      <c r="G2">
        <v>235</v>
      </c>
      <c r="H2" s="2">
        <f>SUM(I2,J2)</f>
        <v>21066</v>
      </c>
      <c r="I2" s="2">
        <v>21066</v>
      </c>
      <c r="J2" s="2">
        <v>0</v>
      </c>
    </row>
    <row r="3" spans="1:11">
      <c r="A3" t="s">
        <v>10</v>
      </c>
      <c r="B3">
        <v>70506</v>
      </c>
      <c r="C3">
        <v>10178</v>
      </c>
      <c r="D3">
        <v>60328</v>
      </c>
      <c r="E3">
        <v>3846</v>
      </c>
      <c r="F3">
        <v>4096</v>
      </c>
      <c r="G3">
        <v>235</v>
      </c>
      <c r="H3" s="2">
        <f t="shared" ref="H3:H7" si="0">SUM(I3,J3)</f>
        <v>21445</v>
      </c>
      <c r="I3">
        <v>20402</v>
      </c>
      <c r="J3" s="2">
        <v>1043</v>
      </c>
    </row>
    <row r="4" spans="1:11">
      <c r="A4" t="s">
        <v>11</v>
      </c>
      <c r="B4">
        <v>73077</v>
      </c>
      <c r="C4">
        <v>12008</v>
      </c>
      <c r="D4">
        <v>61069</v>
      </c>
      <c r="E4">
        <v>4678</v>
      </c>
      <c r="F4">
        <v>4251</v>
      </c>
      <c r="G4">
        <v>235</v>
      </c>
      <c r="H4" s="2">
        <f t="shared" si="0"/>
        <v>22773</v>
      </c>
      <c r="I4">
        <v>21554</v>
      </c>
      <c r="J4" s="2">
        <v>1219</v>
      </c>
    </row>
    <row r="5" spans="1:11">
      <c r="A5" t="s">
        <v>12</v>
      </c>
      <c r="B5">
        <v>78489</v>
      </c>
      <c r="C5">
        <v>14578</v>
      </c>
      <c r="D5">
        <v>63911</v>
      </c>
      <c r="E5">
        <v>7559</v>
      </c>
      <c r="F5">
        <v>4022</v>
      </c>
      <c r="G5">
        <v>235</v>
      </c>
      <c r="H5" s="2">
        <f t="shared" si="0"/>
        <v>27271</v>
      </c>
      <c r="I5" s="2">
        <v>25787</v>
      </c>
      <c r="J5" s="2">
        <v>1484</v>
      </c>
    </row>
    <row r="6" spans="1:11">
      <c r="A6" t="s">
        <v>13</v>
      </c>
      <c r="B6">
        <v>79863</v>
      </c>
      <c r="C6">
        <v>15788</v>
      </c>
      <c r="D6">
        <v>64075</v>
      </c>
      <c r="E6">
        <v>7554</v>
      </c>
      <c r="F6">
        <v>4415</v>
      </c>
      <c r="G6">
        <v>235</v>
      </c>
      <c r="H6" s="2">
        <f t="shared" si="0"/>
        <v>30461</v>
      </c>
      <c r="I6" s="2">
        <v>28813</v>
      </c>
      <c r="J6" s="2">
        <v>1648</v>
      </c>
    </row>
    <row r="7" spans="1:11">
      <c r="A7" t="s">
        <v>14</v>
      </c>
      <c r="B7">
        <v>79738</v>
      </c>
      <c r="C7">
        <v>11416</v>
      </c>
      <c r="D7">
        <v>68322</v>
      </c>
      <c r="E7">
        <v>3248</v>
      </c>
      <c r="F7">
        <v>4789</v>
      </c>
      <c r="G7">
        <v>235</v>
      </c>
      <c r="H7" s="2">
        <f t="shared" si="0"/>
        <v>30999</v>
      </c>
      <c r="I7">
        <v>29521</v>
      </c>
      <c r="J7">
        <v>1478</v>
      </c>
    </row>
    <row r="10" spans="1:11">
      <c r="J10" s="2"/>
      <c r="K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H17" sqref="H17"/>
    </sheetView>
  </sheetViews>
  <sheetFormatPr defaultRowHeight="15"/>
  <cols>
    <col min="1" max="1" width="13.42578125" bestFit="1" customWidth="1"/>
    <col min="2" max="2" width="19.42578125" bestFit="1" customWidth="1"/>
    <col min="3" max="3" width="18.7109375" bestFit="1" customWidth="1"/>
    <col min="4" max="4" width="19" bestFit="1" customWidth="1"/>
    <col min="5" max="5" width="18.7109375" bestFit="1" customWidth="1"/>
    <col min="6" max="6" width="14.42578125" bestFit="1" customWidth="1"/>
  </cols>
  <sheetData>
    <row r="1" spans="1: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9</v>
      </c>
      <c r="B2">
        <v>8040</v>
      </c>
      <c r="C2">
        <v>1791</v>
      </c>
      <c r="D2">
        <v>-6819</v>
      </c>
      <c r="E2">
        <v>-862</v>
      </c>
      <c r="F2">
        <v>3012</v>
      </c>
    </row>
    <row r="3" spans="1:6">
      <c r="A3" t="s">
        <v>10</v>
      </c>
      <c r="B3">
        <v>9063</v>
      </c>
      <c r="C3">
        <v>-1228</v>
      </c>
      <c r="D3">
        <v>-9309</v>
      </c>
      <c r="E3">
        <v>-4163</v>
      </c>
      <c r="F3">
        <v>-1474</v>
      </c>
    </row>
    <row r="4" spans="1:6">
      <c r="A4" t="s">
        <v>11</v>
      </c>
      <c r="B4">
        <v>8045</v>
      </c>
      <c r="C4">
        <v>-1728</v>
      </c>
      <c r="D4">
        <v>-8015</v>
      </c>
      <c r="E4">
        <v>-1228</v>
      </c>
      <c r="F4">
        <v>-1698</v>
      </c>
    </row>
    <row r="5" spans="1:6">
      <c r="A5" t="s">
        <v>12</v>
      </c>
      <c r="B5">
        <v>9031</v>
      </c>
      <c r="C5">
        <v>-1484</v>
      </c>
      <c r="D5">
        <v>-8953</v>
      </c>
      <c r="E5">
        <v>-1192</v>
      </c>
      <c r="F5">
        <v>-1406</v>
      </c>
    </row>
    <row r="6" spans="1:6">
      <c r="A6" t="s">
        <v>13</v>
      </c>
      <c r="B6">
        <v>16782</v>
      </c>
      <c r="C6">
        <v>-5324</v>
      </c>
      <c r="D6">
        <v>-10034</v>
      </c>
      <c r="E6">
        <v>-1477</v>
      </c>
      <c r="F6">
        <v>1424</v>
      </c>
    </row>
    <row r="7" spans="1:6">
      <c r="A7" t="s">
        <v>14</v>
      </c>
      <c r="B7">
        <v>11098</v>
      </c>
      <c r="C7">
        <v>6473</v>
      </c>
      <c r="D7">
        <v>-13101</v>
      </c>
      <c r="E7">
        <v>-1275</v>
      </c>
      <c r="F7">
        <v>4470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K14" sqref="K14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14740.59</v>
      </c>
      <c r="C2">
        <v>8521.1500000000015</v>
      </c>
      <c r="D2">
        <v>6219.4399999999987</v>
      </c>
      <c r="E2">
        <v>3562.3999999999987</v>
      </c>
      <c r="F2">
        <v>2969.6999999999989</v>
      </c>
      <c r="G2">
        <v>2230.7899999999991</v>
      </c>
      <c r="H2" s="3">
        <v>11.570487551867215</v>
      </c>
      <c r="I2" s="3">
        <v>10.00207468879668</v>
      </c>
    </row>
    <row r="3" spans="1:9">
      <c r="A3" t="s">
        <v>10</v>
      </c>
      <c r="B3">
        <v>16896.96</v>
      </c>
      <c r="C3">
        <v>10221.700000000001</v>
      </c>
      <c r="D3">
        <v>6675.2599999999984</v>
      </c>
      <c r="E3">
        <v>3706.2899999999981</v>
      </c>
      <c r="F3">
        <v>3148.7099999999982</v>
      </c>
      <c r="G3">
        <v>2283.2599999999984</v>
      </c>
      <c r="H3" s="3">
        <v>11.842634854771775</v>
      </c>
      <c r="I3" s="3">
        <v>11.002282157676348</v>
      </c>
    </row>
    <row r="4" spans="1:9">
      <c r="A4" t="s">
        <v>11</v>
      </c>
      <c r="B4">
        <v>19126.3</v>
      </c>
      <c r="C4">
        <v>10281.89</v>
      </c>
      <c r="D4">
        <v>8844.41</v>
      </c>
      <c r="E4">
        <v>4470.99</v>
      </c>
      <c r="F4">
        <v>3922.79</v>
      </c>
      <c r="G4">
        <v>2883.17</v>
      </c>
      <c r="H4" s="3">
        <v>14.954201244813277</v>
      </c>
      <c r="I4" s="3">
        <v>8.7018153526970945</v>
      </c>
    </row>
    <row r="5" spans="1:9">
      <c r="A5" t="s">
        <v>12</v>
      </c>
      <c r="B5">
        <v>24393.89</v>
      </c>
      <c r="C5">
        <v>14101.72</v>
      </c>
      <c r="D5">
        <v>10292.17</v>
      </c>
      <c r="E5">
        <v>5843.12</v>
      </c>
      <c r="F5">
        <v>5129.88</v>
      </c>
      <c r="G5">
        <v>3773.8500000000004</v>
      </c>
      <c r="H5" s="3">
        <v>19.570865529222633</v>
      </c>
      <c r="I5" s="3">
        <v>16.100814188663588</v>
      </c>
    </row>
    <row r="6" spans="1:9">
      <c r="A6" t="s">
        <v>13</v>
      </c>
      <c r="B6">
        <v>20201.560000000001</v>
      </c>
      <c r="C6">
        <v>11692.86</v>
      </c>
      <c r="D6">
        <v>8508.7000000000007</v>
      </c>
      <c r="E6">
        <v>4771.3300000000008</v>
      </c>
      <c r="F6">
        <v>4095.4100000000008</v>
      </c>
      <c r="G6">
        <v>2962.4400000000005</v>
      </c>
      <c r="H6" s="3">
        <v>15.362962194679254</v>
      </c>
      <c r="I6" s="3">
        <v>13.500700098532386</v>
      </c>
    </row>
    <row r="7" spans="1:9">
      <c r="A7" t="s">
        <v>14</v>
      </c>
      <c r="B7">
        <v>23154.6</v>
      </c>
      <c r="C7">
        <v>13627.64</v>
      </c>
      <c r="D7">
        <v>9526.9599999999991</v>
      </c>
      <c r="E7">
        <v>5306.9599999999991</v>
      </c>
      <c r="F7">
        <v>4449.4199999999992</v>
      </c>
      <c r="G7">
        <v>3384.369999999999</v>
      </c>
      <c r="H7" s="3">
        <v>17.551055333713627</v>
      </c>
      <c r="I7" s="3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H9" sqref="H9"/>
    </sheetView>
  </sheetViews>
  <sheetFormatPr defaultRowHeight="15"/>
  <cols>
    <col min="2" max="2" width="11.5703125" bestFit="1" customWidth="1"/>
  </cols>
  <sheetData>
    <row r="1" spans="1:1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9</v>
      </c>
      <c r="B2">
        <v>8234.130000000001</v>
      </c>
      <c r="C2">
        <v>2494.0300000000002</v>
      </c>
      <c r="D2">
        <v>5740.1</v>
      </c>
      <c r="E2">
        <v>735.41</v>
      </c>
      <c r="F2">
        <v>1592.65</v>
      </c>
      <c r="G2">
        <v>96.42</v>
      </c>
      <c r="H2">
        <f>SUM(I2,J2)</f>
        <v>6287.75</v>
      </c>
      <c r="I2">
        <v>6021.29</v>
      </c>
      <c r="J2">
        <v>266.45999999999998</v>
      </c>
    </row>
    <row r="3" spans="1:10">
      <c r="A3" t="s">
        <v>10</v>
      </c>
      <c r="B3">
        <v>8978.7400000000016</v>
      </c>
      <c r="C3">
        <v>3066.21</v>
      </c>
      <c r="D3">
        <v>5912.5300000000007</v>
      </c>
      <c r="E3">
        <v>945.55</v>
      </c>
      <c r="F3">
        <v>1928.77</v>
      </c>
      <c r="G3">
        <v>96.42</v>
      </c>
      <c r="H3">
        <f t="shared" ref="H3:H7" si="0">SUM(I3,J3)</f>
        <v>6519.57</v>
      </c>
      <c r="I3">
        <v>6249.05</v>
      </c>
      <c r="J3">
        <v>270.52</v>
      </c>
    </row>
    <row r="4" spans="1:10">
      <c r="A4" t="s">
        <v>11</v>
      </c>
      <c r="B4">
        <v>8978.7400000000016</v>
      </c>
      <c r="C4">
        <v>3066.21</v>
      </c>
      <c r="D4">
        <v>5912.5300000000007</v>
      </c>
      <c r="E4">
        <v>945.55</v>
      </c>
      <c r="F4">
        <v>1928.77</v>
      </c>
      <c r="G4">
        <v>96.42</v>
      </c>
      <c r="H4">
        <f t="shared" si="0"/>
        <v>6519.57</v>
      </c>
      <c r="I4">
        <v>6249.05</v>
      </c>
      <c r="J4">
        <v>270.52</v>
      </c>
    </row>
    <row r="5" spans="1:10">
      <c r="A5" t="s">
        <v>12</v>
      </c>
      <c r="B5">
        <v>10523.06</v>
      </c>
      <c r="C5">
        <v>3168.67</v>
      </c>
      <c r="D5">
        <v>7354.3899999999994</v>
      </c>
      <c r="E5">
        <v>778.85</v>
      </c>
      <c r="F5">
        <v>2089.36</v>
      </c>
      <c r="G5">
        <v>96.42</v>
      </c>
      <c r="H5">
        <f t="shared" si="0"/>
        <v>7182.17</v>
      </c>
      <c r="I5">
        <v>6837.64</v>
      </c>
      <c r="J5">
        <v>344.53</v>
      </c>
    </row>
    <row r="6" spans="1:10">
      <c r="A6" t="s">
        <v>13</v>
      </c>
      <c r="B6">
        <v>12323.890000000001</v>
      </c>
      <c r="C6">
        <v>3308.94</v>
      </c>
      <c r="D6">
        <v>9014.9500000000007</v>
      </c>
      <c r="E6">
        <v>95.65</v>
      </c>
      <c r="F6">
        <v>2850.14</v>
      </c>
      <c r="G6">
        <v>96.42</v>
      </c>
      <c r="H6">
        <f t="shared" si="0"/>
        <v>8206.74</v>
      </c>
      <c r="I6">
        <v>7039.89</v>
      </c>
      <c r="J6">
        <v>1166.8499999999999</v>
      </c>
    </row>
    <row r="7" spans="1:10">
      <c r="A7" t="s">
        <v>14</v>
      </c>
      <c r="B7">
        <v>13357.17</v>
      </c>
      <c r="C7">
        <v>4239.5599999999995</v>
      </c>
      <c r="D7">
        <v>9117.61</v>
      </c>
      <c r="E7">
        <v>1340.87</v>
      </c>
      <c r="F7">
        <v>2569.2199999999998</v>
      </c>
      <c r="G7">
        <v>192.83</v>
      </c>
      <c r="H7">
        <f t="shared" si="0"/>
        <v>8047.93</v>
      </c>
      <c r="I7">
        <v>7603.77</v>
      </c>
      <c r="J7">
        <v>444.16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F2" sqref="F2:F7"/>
    </sheetView>
  </sheetViews>
  <sheetFormatPr defaultRowHeight="15"/>
  <sheetData>
    <row r="1" spans="1: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9</v>
      </c>
      <c r="B2">
        <v>2062</v>
      </c>
      <c r="C2">
        <v>-1920</v>
      </c>
      <c r="D2">
        <v>-2019</v>
      </c>
      <c r="E2">
        <v>-735</v>
      </c>
      <c r="F2">
        <v>-1877</v>
      </c>
    </row>
    <row r="3" spans="1:6">
      <c r="A3" t="s">
        <v>10</v>
      </c>
      <c r="B3">
        <v>2707</v>
      </c>
      <c r="C3">
        <v>-393</v>
      </c>
      <c r="D3">
        <v>-2123</v>
      </c>
      <c r="E3">
        <v>-550</v>
      </c>
      <c r="F3">
        <v>191</v>
      </c>
    </row>
    <row r="4" spans="1:6">
      <c r="A4" t="s">
        <v>11</v>
      </c>
      <c r="B4">
        <v>3456</v>
      </c>
      <c r="C4">
        <v>-926</v>
      </c>
      <c r="D4">
        <v>-2436</v>
      </c>
      <c r="E4">
        <v>-1371</v>
      </c>
      <c r="F4">
        <v>94</v>
      </c>
    </row>
    <row r="5" spans="1:6">
      <c r="A5" t="s">
        <v>12</v>
      </c>
      <c r="B5">
        <v>3925</v>
      </c>
      <c r="C5">
        <v>-1238</v>
      </c>
      <c r="D5">
        <v>-3135</v>
      </c>
      <c r="E5">
        <v>-1883</v>
      </c>
      <c r="F5">
        <v>-448</v>
      </c>
    </row>
    <row r="6" spans="1:6">
      <c r="A6" t="s">
        <v>13</v>
      </c>
      <c r="B6">
        <v>2188</v>
      </c>
      <c r="C6">
        <v>-1811</v>
      </c>
      <c r="D6">
        <v>-1847</v>
      </c>
      <c r="E6">
        <v>-2009</v>
      </c>
      <c r="F6">
        <v>-1470</v>
      </c>
    </row>
    <row r="7" spans="1:6">
      <c r="A7" t="s">
        <v>14</v>
      </c>
      <c r="B7">
        <v>5841</v>
      </c>
      <c r="C7">
        <v>-625</v>
      </c>
      <c r="D7">
        <v>-3179</v>
      </c>
      <c r="E7">
        <v>-830</v>
      </c>
      <c r="F7">
        <v>2037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>
      <selection activeCell="J18" sqref="J18"/>
    </sheetView>
  </sheetViews>
  <sheetFormatPr defaultRowHeight="15"/>
  <cols>
    <col min="2" max="2" width="13.42578125" bestFit="1" customWidth="1"/>
    <col min="3" max="3" width="12.85546875" bestFit="1" customWidth="1"/>
    <col min="4" max="4" width="11.140625" bestFit="1" customWidth="1"/>
    <col min="5" max="5" width="13.85546875" bestFit="1" customWidth="1"/>
    <col min="6" max="6" width="5.5703125" bestFit="1" customWidth="1"/>
    <col min="7" max="7" width="9.28515625" bestFit="1" customWidth="1"/>
    <col min="8" max="8" width="12.85546875" bestFit="1" customWidth="1"/>
    <col min="9" max="9" width="16.7109375" bestFit="1" customWidth="1"/>
    <col min="10" max="10" width="14.5703125" bestFit="1" customWidth="1"/>
    <col min="11" max="11" width="17" bestFit="1" customWidth="1"/>
    <col min="12" max="13" width="9.28515625" bestFit="1" customWidth="1"/>
  </cols>
  <sheetData>
    <row r="1" spans="1:13">
      <c r="A1" s="1" t="s">
        <v>29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7</v>
      </c>
      <c r="M1" s="1" t="s">
        <v>39</v>
      </c>
    </row>
    <row r="2" spans="1:13">
      <c r="A2" t="s">
        <v>40</v>
      </c>
      <c r="B2" t="s">
        <v>9</v>
      </c>
      <c r="C2" s="3">
        <v>1.2</v>
      </c>
      <c r="D2" s="3">
        <v>0.8</v>
      </c>
      <c r="E2" s="3">
        <v>0.02</v>
      </c>
      <c r="F2" s="3">
        <v>0.1</v>
      </c>
      <c r="G2" s="3">
        <v>0.16421949070772329</v>
      </c>
      <c r="H2" s="3">
        <v>0.46200136089138388</v>
      </c>
      <c r="I2" s="3">
        <v>0.16647529131581185</v>
      </c>
      <c r="J2" s="3">
        <v>0.7</v>
      </c>
      <c r="K2" s="3">
        <v>90.188034188034194</v>
      </c>
      <c r="L2" s="3">
        <v>1.8</v>
      </c>
      <c r="M2" s="3">
        <v>1.77</v>
      </c>
    </row>
    <row r="3" spans="1:13">
      <c r="A3" t="s">
        <v>40</v>
      </c>
      <c r="B3" t="s">
        <v>10</v>
      </c>
      <c r="C3" s="3">
        <v>1.38</v>
      </c>
      <c r="D3" s="3">
        <v>0.89</v>
      </c>
      <c r="E3" s="3">
        <v>0.03</v>
      </c>
      <c r="F3" s="3">
        <v>0.10539999999999999</v>
      </c>
      <c r="G3" s="3">
        <v>0.1767799270296162</v>
      </c>
      <c r="H3" s="3">
        <v>0.44579186210578498</v>
      </c>
      <c r="I3" s="3">
        <v>0.16537009495481067</v>
      </c>
      <c r="J3" s="3">
        <v>0.75</v>
      </c>
      <c r="K3" s="3">
        <v>111</v>
      </c>
      <c r="L3" s="3">
        <v>1.85</v>
      </c>
      <c r="M3" s="3">
        <v>1.82</v>
      </c>
    </row>
    <row r="4" spans="1:13">
      <c r="A4" t="s">
        <v>40</v>
      </c>
      <c r="B4" t="s">
        <v>11</v>
      </c>
      <c r="C4" s="3">
        <v>1.41</v>
      </c>
      <c r="D4" s="3">
        <v>0.92</v>
      </c>
      <c r="E4" s="3">
        <v>0.03</v>
      </c>
      <c r="F4" s="3">
        <v>0.113</v>
      </c>
      <c r="G4" s="3">
        <v>0.19272821246819338</v>
      </c>
      <c r="H4" s="3">
        <v>0.41596236381644108</v>
      </c>
      <c r="I4" s="3">
        <v>0.16003631561571477</v>
      </c>
      <c r="J4" s="3">
        <v>0.84</v>
      </c>
      <c r="K4" s="3">
        <v>114.12280701754386</v>
      </c>
      <c r="L4" s="3">
        <v>1.68</v>
      </c>
      <c r="M4" s="3">
        <v>1.65</v>
      </c>
    </row>
    <row r="5" spans="1:13">
      <c r="A5" t="s">
        <v>40</v>
      </c>
      <c r="B5" t="s">
        <v>12</v>
      </c>
      <c r="C5" s="3">
        <v>1.66</v>
      </c>
      <c r="D5" s="3">
        <v>1.18</v>
      </c>
      <c r="E5" s="3">
        <v>0.03</v>
      </c>
      <c r="F5" s="3">
        <v>0.1106</v>
      </c>
      <c r="G5" s="3">
        <v>0.18479831309305322</v>
      </c>
      <c r="H5" s="3">
        <v>0.45632997285769678</v>
      </c>
      <c r="I5" s="3">
        <v>0.15291779759596744</v>
      </c>
      <c r="J5" s="3">
        <v>0.82</v>
      </c>
      <c r="K5" s="3">
        <v>40.248502994011979</v>
      </c>
      <c r="L5" s="3">
        <v>1.93</v>
      </c>
      <c r="M5" s="3">
        <v>1.97</v>
      </c>
    </row>
    <row r="6" spans="1:13">
      <c r="A6" t="s">
        <v>40</v>
      </c>
      <c r="B6" t="s">
        <v>13</v>
      </c>
      <c r="C6" s="3">
        <v>1.33</v>
      </c>
      <c r="D6" s="3">
        <v>0.93</v>
      </c>
      <c r="E6" s="3">
        <v>0.03</v>
      </c>
      <c r="F6" s="3">
        <v>0.10589999999999999</v>
      </c>
      <c r="G6" s="3">
        <v>0.18857536132140398</v>
      </c>
      <c r="H6" s="3">
        <v>0.45344703887294546</v>
      </c>
      <c r="I6" s="3">
        <v>0.15190451343595096</v>
      </c>
      <c r="J6" s="3">
        <v>0.77</v>
      </c>
      <c r="K6" s="3">
        <v>35.288713910761153</v>
      </c>
      <c r="L6" s="3">
        <v>2.0099999999999998</v>
      </c>
      <c r="M6" s="3">
        <v>1.98</v>
      </c>
    </row>
    <row r="7" spans="1:13">
      <c r="A7" t="s">
        <v>40</v>
      </c>
      <c r="B7" t="s">
        <v>14</v>
      </c>
      <c r="C7" s="3">
        <v>1.22</v>
      </c>
      <c r="D7" s="3">
        <v>0.7</v>
      </c>
      <c r="E7" s="3">
        <v>0.03</v>
      </c>
      <c r="F7" s="3">
        <v>0.1071</v>
      </c>
      <c r="G7" s="3">
        <v>0.20796487412544368</v>
      </c>
      <c r="H7" s="3">
        <v>0.44726065644971147</v>
      </c>
      <c r="I7" s="3">
        <v>0.15722529006638952</v>
      </c>
      <c r="J7" s="3">
        <v>0.81</v>
      </c>
      <c r="K7" s="3">
        <v>33.429268292682927</v>
      </c>
      <c r="L7" s="3">
        <v>3.12</v>
      </c>
      <c r="M7" s="3">
        <v>2.02</v>
      </c>
    </row>
    <row r="8" spans="1:13">
      <c r="A8" t="s">
        <v>41</v>
      </c>
      <c r="B8" t="s">
        <v>9</v>
      </c>
      <c r="C8" s="3">
        <v>1</v>
      </c>
      <c r="D8" s="3">
        <v>0.5</v>
      </c>
      <c r="E8" s="3">
        <v>0.1</v>
      </c>
      <c r="F8" s="3">
        <v>23.92</v>
      </c>
      <c r="G8" s="3">
        <v>1.1461225454433352</v>
      </c>
      <c r="H8" s="3">
        <v>0.4219261237168932</v>
      </c>
      <c r="I8" s="3">
        <v>0.15133654758730819</v>
      </c>
      <c r="J8" s="3">
        <v>2</v>
      </c>
      <c r="K8" s="3">
        <v>15.72481158270527</v>
      </c>
      <c r="L8" s="3">
        <v>1.2</v>
      </c>
      <c r="M8" s="3">
        <v>1</v>
      </c>
    </row>
    <row r="9" spans="1:13">
      <c r="A9" t="s">
        <v>41</v>
      </c>
      <c r="B9" t="s">
        <v>10</v>
      </c>
      <c r="C9" s="3">
        <v>1.1299999999999999</v>
      </c>
      <c r="D9" s="3">
        <v>0.45</v>
      </c>
      <c r="E9" s="3">
        <v>0.11</v>
      </c>
      <c r="F9" s="3">
        <v>26.75</v>
      </c>
      <c r="G9" s="3">
        <v>0.92846773504881663</v>
      </c>
      <c r="H9" s="3">
        <v>0.3950568622994905</v>
      </c>
      <c r="I9" s="3">
        <v>0.13512844914114719</v>
      </c>
      <c r="J9" s="3">
        <v>1.92</v>
      </c>
      <c r="K9" s="3">
        <v>21.370770524681362</v>
      </c>
      <c r="L9" s="3">
        <v>1.26</v>
      </c>
      <c r="M9" s="3">
        <v>1.17</v>
      </c>
    </row>
    <row r="10" spans="1:13">
      <c r="A10" t="s">
        <v>41</v>
      </c>
      <c r="B10" t="s">
        <v>11</v>
      </c>
      <c r="C10" s="3">
        <v>0.95</v>
      </c>
      <c r="D10" s="3">
        <v>0.37</v>
      </c>
      <c r="E10" s="3">
        <v>0.11</v>
      </c>
      <c r="F10" s="3">
        <v>25.5</v>
      </c>
      <c r="G10" s="3">
        <v>1.1724158964203368</v>
      </c>
      <c r="H10" s="3">
        <v>0.46242137789326737</v>
      </c>
      <c r="I10" s="3">
        <v>0.15074374029477736</v>
      </c>
      <c r="J10" s="3">
        <v>2.0099999999999998</v>
      </c>
      <c r="K10" s="3">
        <v>33.884483192220635</v>
      </c>
      <c r="L10" s="3">
        <v>1.17</v>
      </c>
      <c r="M10" s="3">
        <v>0.96</v>
      </c>
    </row>
    <row r="11" spans="1:13">
      <c r="A11" t="s">
        <v>41</v>
      </c>
      <c r="B11" t="s">
        <v>12</v>
      </c>
      <c r="C11" s="3">
        <v>0.88</v>
      </c>
      <c r="D11" s="3">
        <v>0.28999999999999998</v>
      </c>
      <c r="E11" s="3">
        <v>0.1</v>
      </c>
      <c r="F11" s="3">
        <v>0</v>
      </c>
      <c r="G11" s="3">
        <v>1.1295942099260976</v>
      </c>
      <c r="H11" s="3">
        <v>0.42191589779243904</v>
      </c>
      <c r="I11" s="3">
        <v>0.1547047231909302</v>
      </c>
      <c r="J11" s="3">
        <v>0</v>
      </c>
      <c r="K11" s="3">
        <v>36.259330538181317</v>
      </c>
      <c r="L11" s="3">
        <v>1.26</v>
      </c>
      <c r="M11" s="3">
        <v>1.01</v>
      </c>
    </row>
    <row r="12" spans="1:13">
      <c r="A12" t="s">
        <v>41</v>
      </c>
      <c r="B12" t="s">
        <v>13</v>
      </c>
      <c r="C12" s="3">
        <v>0.8</v>
      </c>
      <c r="D12" s="3">
        <v>0.1</v>
      </c>
      <c r="E12" s="3">
        <v>0.28999999999999998</v>
      </c>
      <c r="F12" s="3">
        <v>23.12</v>
      </c>
      <c r="G12" s="3">
        <v>0.71953657262912474</v>
      </c>
      <c r="H12" s="3">
        <v>0.42119024471377459</v>
      </c>
      <c r="I12" s="3">
        <v>0.14664412055306622</v>
      </c>
      <c r="J12" s="3">
        <v>1.77</v>
      </c>
      <c r="K12" s="3">
        <v>31.113308823529419</v>
      </c>
      <c r="L12" s="3">
        <v>1.48</v>
      </c>
      <c r="M12" s="3">
        <v>1.22</v>
      </c>
    </row>
    <row r="13" spans="1:13">
      <c r="A13" t="s">
        <v>41</v>
      </c>
      <c r="B13" t="s">
        <v>14</v>
      </c>
      <c r="C13" s="3">
        <v>0.96</v>
      </c>
      <c r="D13" s="3">
        <v>0.35</v>
      </c>
      <c r="E13" s="3">
        <v>0.09</v>
      </c>
      <c r="F13" s="3">
        <v>22.58</v>
      </c>
      <c r="G13" s="3">
        <v>0.6374490510882912</v>
      </c>
      <c r="H13" s="3">
        <v>0.41144999265804633</v>
      </c>
      <c r="I13" s="3">
        <v>0.14616404515733372</v>
      </c>
      <c r="J13" s="3">
        <v>1.82</v>
      </c>
      <c r="K13" s="3">
        <v>29.105741898806137</v>
      </c>
      <c r="L13" s="3">
        <v>1.54</v>
      </c>
      <c r="M13" s="3">
        <v>1.03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tabSelected="1" workbookViewId="0">
      <selection activeCell="K19" sqref="K19"/>
    </sheetView>
  </sheetViews>
  <sheetFormatPr defaultRowHeight="15"/>
  <cols>
    <col min="1" max="1" width="11.7109375" bestFit="1" customWidth="1"/>
    <col min="3" max="3" width="8.85546875" bestFit="1" customWidth="1"/>
    <col min="4" max="4" width="11.42578125" bestFit="1" customWidth="1"/>
    <col min="5" max="5" width="7.28515625" bestFit="1" customWidth="1"/>
    <col min="6" max="6" width="9.7109375" bestFit="1" customWidth="1"/>
    <col min="7" max="7" width="11.5703125" bestFit="1" customWidth="1"/>
    <col min="8" max="8" width="6.5703125" bestFit="1" customWidth="1"/>
    <col min="9" max="9" width="10.140625" bestFit="1" customWidth="1"/>
    <col min="10" max="10" width="12.7109375" bestFit="1" customWidth="1"/>
    <col min="11" max="11" width="4.5703125" bestFit="1" customWidth="1"/>
    <col min="13" max="13" width="19.42578125" bestFit="1" customWidth="1"/>
    <col min="14" max="14" width="14.42578125" bestFit="1" customWidth="1"/>
    <col min="15" max="15" width="4.5703125" bestFit="1" customWidth="1"/>
  </cols>
  <sheetData>
    <row r="1" spans="1:15">
      <c r="A1" s="1" t="s">
        <v>29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15</v>
      </c>
      <c r="H1" s="1" t="s">
        <v>20</v>
      </c>
      <c r="I1" s="1" t="s">
        <v>21</v>
      </c>
      <c r="J1" s="1" t="s">
        <v>30</v>
      </c>
      <c r="K1" s="1" t="s">
        <v>34</v>
      </c>
      <c r="L1" s="1" t="s">
        <v>33</v>
      </c>
      <c r="M1" s="1" t="s">
        <v>24</v>
      </c>
      <c r="N1" s="1" t="s">
        <v>28</v>
      </c>
      <c r="O1" s="1" t="s">
        <v>7</v>
      </c>
    </row>
    <row r="2" spans="1:15">
      <c r="A2" t="s">
        <v>40</v>
      </c>
      <c r="B2" t="s">
        <v>9</v>
      </c>
      <c r="C2">
        <f>HUL_Financials!B2</f>
        <v>47028</v>
      </c>
      <c r="D2">
        <f>HUL_Financials!D2</f>
        <v>21727</v>
      </c>
      <c r="E2">
        <f>HUL_Financials!E2</f>
        <v>11626</v>
      </c>
      <c r="F2">
        <f>HUL_Financials!G2</f>
        <v>7829</v>
      </c>
      <c r="G2">
        <f>HUL_BalanceSheet!B2</f>
        <v>68740</v>
      </c>
      <c r="H2">
        <f>HUL_BalanceSheet!G2</f>
        <v>235</v>
      </c>
      <c r="I2" s="2">
        <f>HUL_BalanceSheet!H2</f>
        <v>21066</v>
      </c>
      <c r="J2">
        <f>Ratios!C2</f>
        <v>1.2</v>
      </c>
      <c r="K2" s="3">
        <f>Ratios!G2</f>
        <v>0.16421949070772329</v>
      </c>
      <c r="L2" s="3">
        <f>Ratios!F2</f>
        <v>0.1</v>
      </c>
      <c r="M2">
        <f>HUL_CashFlow!B2</f>
        <v>8040</v>
      </c>
      <c r="N2">
        <f>HUL_CashFlow!F2</f>
        <v>3012</v>
      </c>
      <c r="O2" s="3">
        <f>Ratios!L2</f>
        <v>1.8</v>
      </c>
    </row>
    <row r="3" spans="1:15">
      <c r="A3" t="s">
        <v>40</v>
      </c>
      <c r="B3" t="s">
        <v>10</v>
      </c>
      <c r="C3">
        <f>HUL_Financials!B3</f>
        <v>52446</v>
      </c>
      <c r="D3">
        <f>HUL_Financials!D3</f>
        <v>23380</v>
      </c>
      <c r="E3">
        <f>HUL_Financials!E3</f>
        <v>12857</v>
      </c>
      <c r="F3">
        <f>HUL_Financials!G3</f>
        <v>8673</v>
      </c>
      <c r="G3">
        <f>HUL_BalanceSheet!B3</f>
        <v>70506</v>
      </c>
      <c r="H3">
        <f>HUL_BalanceSheet!G3</f>
        <v>235</v>
      </c>
      <c r="I3" s="2">
        <f>HUL_BalanceSheet!H3</f>
        <v>21445</v>
      </c>
      <c r="J3">
        <f>Ratios!C3</f>
        <v>1.38</v>
      </c>
      <c r="K3" s="3">
        <f>Ratios!G3</f>
        <v>0.1767799270296162</v>
      </c>
      <c r="L3" s="3">
        <f>Ratios!F3</f>
        <v>0.10539999999999999</v>
      </c>
      <c r="M3">
        <f>HUL_CashFlow!B3</f>
        <v>9063</v>
      </c>
      <c r="N3">
        <f>HUL_CashFlow!F3</f>
        <v>-1474</v>
      </c>
      <c r="O3" s="3">
        <f>Ratios!L3</f>
        <v>1.85</v>
      </c>
    </row>
    <row r="4" spans="1:15">
      <c r="A4" t="s">
        <v>40</v>
      </c>
      <c r="B4" t="s">
        <v>11</v>
      </c>
      <c r="C4">
        <f>HUL_Financials!B4</f>
        <v>60580</v>
      </c>
      <c r="D4">
        <f>HUL_Financials!D4</f>
        <v>25199</v>
      </c>
      <c r="E4">
        <f>HUL_Financials!E4</f>
        <v>14147</v>
      </c>
      <c r="F4">
        <f>HUL_Financials!G4</f>
        <v>9695</v>
      </c>
      <c r="G4">
        <f>HUL_BalanceSheet!B4</f>
        <v>73077</v>
      </c>
      <c r="H4">
        <f>HUL_BalanceSheet!G4</f>
        <v>235</v>
      </c>
      <c r="I4" s="2">
        <f>HUL_BalanceSheet!H4</f>
        <v>22773</v>
      </c>
      <c r="J4">
        <f>Ratios!C4</f>
        <v>1.41</v>
      </c>
      <c r="K4" s="3">
        <f>Ratios!G4</f>
        <v>0.19272821246819338</v>
      </c>
      <c r="L4" s="3">
        <f>Ratios!F4</f>
        <v>0.113</v>
      </c>
      <c r="M4">
        <f>HUL_CashFlow!B4</f>
        <v>8045</v>
      </c>
      <c r="N4">
        <f>HUL_CashFlow!F4</f>
        <v>-1698</v>
      </c>
      <c r="O4" s="3">
        <f>Ratios!L4</f>
        <v>1.68</v>
      </c>
    </row>
    <row r="5" spans="1:15">
      <c r="A5" t="s">
        <v>40</v>
      </c>
      <c r="B5" t="s">
        <v>12</v>
      </c>
      <c r="C5">
        <f>HUL_Financials!B5</f>
        <v>61896</v>
      </c>
      <c r="D5">
        <f>HUL_Financials!D5</f>
        <v>28245</v>
      </c>
      <c r="E5">
        <f>HUL_Financials!E5</f>
        <v>14659</v>
      </c>
      <c r="F5">
        <f>HUL_Financials!G5</f>
        <v>9465</v>
      </c>
      <c r="G5">
        <f>HUL_BalanceSheet!B5</f>
        <v>78489</v>
      </c>
      <c r="H5">
        <f>HUL_BalanceSheet!G5</f>
        <v>235</v>
      </c>
      <c r="I5" s="2">
        <f>HUL_BalanceSheet!H5</f>
        <v>27271</v>
      </c>
      <c r="J5">
        <f>Ratios!C5</f>
        <v>1.66</v>
      </c>
      <c r="K5" s="3">
        <f>Ratios!G5</f>
        <v>0.18479831309305322</v>
      </c>
      <c r="L5" s="3">
        <f>Ratios!F5</f>
        <v>0.1106</v>
      </c>
      <c r="M5">
        <f>HUL_CashFlow!B5</f>
        <v>9031</v>
      </c>
      <c r="N5">
        <f>HUL_CashFlow!F5</f>
        <v>-1406</v>
      </c>
      <c r="O5" s="3">
        <f>Ratios!L5</f>
        <v>1.93</v>
      </c>
    </row>
    <row r="6" spans="1:15">
      <c r="A6" t="s">
        <v>40</v>
      </c>
      <c r="B6" t="s">
        <v>13</v>
      </c>
      <c r="C6">
        <f>HUL_Financials!B6</f>
        <v>61328</v>
      </c>
      <c r="D6">
        <f>HUL_Financials!D6</f>
        <v>27809</v>
      </c>
      <c r="E6">
        <f>HUL_Financials!E6</f>
        <v>14698</v>
      </c>
      <c r="F6">
        <f>HUL_Financials!G6</f>
        <v>9316</v>
      </c>
      <c r="G6">
        <f>HUL_BalanceSheet!B6</f>
        <v>79863</v>
      </c>
      <c r="H6">
        <f>HUL_BalanceSheet!G6</f>
        <v>235</v>
      </c>
      <c r="I6" s="2">
        <f>HUL_BalanceSheet!H6</f>
        <v>30461</v>
      </c>
      <c r="J6">
        <f>Ratios!C6</f>
        <v>1.33</v>
      </c>
      <c r="K6" s="3">
        <f>Ratios!G6</f>
        <v>0.18857536132140398</v>
      </c>
      <c r="L6" s="3">
        <f>Ratios!F6</f>
        <v>0.10589999999999999</v>
      </c>
      <c r="M6">
        <f>HUL_CashFlow!B6</f>
        <v>16782</v>
      </c>
      <c r="N6">
        <f>HUL_CashFlow!F6</f>
        <v>1424</v>
      </c>
      <c r="O6" s="3">
        <f>Ratios!L6</f>
        <v>2.0099999999999998</v>
      </c>
    </row>
    <row r="7" spans="1:15">
      <c r="A7" t="s">
        <v>40</v>
      </c>
      <c r="B7" t="s">
        <v>14</v>
      </c>
      <c r="C7">
        <f>HUL_Financials!B7</f>
        <v>64468</v>
      </c>
      <c r="D7">
        <f>HUL_Financials!D7</f>
        <v>28834</v>
      </c>
      <c r="E7">
        <f>HUL_Financials!E7</f>
        <v>15039</v>
      </c>
      <c r="F7">
        <f>HUL_Financials!G7</f>
        <v>10136</v>
      </c>
      <c r="G7">
        <f>HUL_BalanceSheet!B7</f>
        <v>79738</v>
      </c>
      <c r="H7">
        <f>HUL_BalanceSheet!G7</f>
        <v>235</v>
      </c>
      <c r="I7" s="2">
        <f>HUL_BalanceSheet!H7</f>
        <v>30999</v>
      </c>
      <c r="J7">
        <f>Ratios!C7</f>
        <v>1.22</v>
      </c>
      <c r="K7" s="3">
        <f>Ratios!G7</f>
        <v>0.20796487412544368</v>
      </c>
      <c r="L7" s="3">
        <f>Ratios!F7</f>
        <v>0.1071</v>
      </c>
      <c r="M7">
        <f>HUL_CashFlow!B7</f>
        <v>11098</v>
      </c>
      <c r="N7">
        <f>HUL_CashFlow!F7</f>
        <v>4470</v>
      </c>
      <c r="O7" s="3">
        <f>Ratios!L7</f>
        <v>3.12</v>
      </c>
    </row>
    <row r="8" spans="1:15">
      <c r="A8" t="s">
        <v>41</v>
      </c>
      <c r="B8" t="s">
        <v>9</v>
      </c>
      <c r="C8">
        <f>Nestle_Financials!B2</f>
        <v>14740.59</v>
      </c>
      <c r="D8">
        <f>Nestle_Financials!D2</f>
        <v>6219.4399999999987</v>
      </c>
      <c r="E8">
        <f>Nestle_Financials!E2</f>
        <v>3562.3999999999987</v>
      </c>
      <c r="F8">
        <f>Nestle_Financials!G2</f>
        <v>2230.7899999999991</v>
      </c>
      <c r="G8">
        <f>Nestle_BalanceSheet!B2</f>
        <v>8234.130000000001</v>
      </c>
      <c r="H8">
        <f>Nestle_BalanceSheet!G2</f>
        <v>96.42</v>
      </c>
      <c r="I8">
        <f>Nestle_BalanceSheet!H2</f>
        <v>6287.75</v>
      </c>
      <c r="J8">
        <f>Ratios!C8</f>
        <v>1</v>
      </c>
      <c r="K8" s="3">
        <f>Ratios!G8</f>
        <v>1.1461225454433352</v>
      </c>
      <c r="L8" s="3">
        <f>Ratios!F8</f>
        <v>23.92</v>
      </c>
      <c r="M8">
        <f>Nestle_CashFlow!B2</f>
        <v>2062</v>
      </c>
      <c r="N8">
        <f>Nestle_CashFlow!F2</f>
        <v>-1877</v>
      </c>
      <c r="O8" s="3">
        <f>Ratios!L8</f>
        <v>1.2</v>
      </c>
    </row>
    <row r="9" spans="1:15">
      <c r="A9" t="s">
        <v>41</v>
      </c>
      <c r="B9" t="s">
        <v>10</v>
      </c>
      <c r="C9">
        <f>Nestle_Financials!B3</f>
        <v>16896.96</v>
      </c>
      <c r="D9">
        <f>Nestle_Financials!D3</f>
        <v>6675.2599999999984</v>
      </c>
      <c r="E9">
        <f>Nestle_Financials!E3</f>
        <v>3706.2899999999981</v>
      </c>
      <c r="F9">
        <f>Nestle_Financials!G3</f>
        <v>2283.2599999999984</v>
      </c>
      <c r="G9">
        <f>Nestle_BalanceSheet!B3</f>
        <v>8978.7400000000016</v>
      </c>
      <c r="H9">
        <f>Nestle_BalanceSheet!G3</f>
        <v>96.42</v>
      </c>
      <c r="I9">
        <f>Nestle_BalanceSheet!H3</f>
        <v>6519.57</v>
      </c>
      <c r="J9">
        <f>Ratios!C9</f>
        <v>1.1299999999999999</v>
      </c>
      <c r="K9" s="3">
        <f>Ratios!G9</f>
        <v>0.92846773504881663</v>
      </c>
      <c r="L9" s="3">
        <f>Ratios!F9</f>
        <v>26.75</v>
      </c>
      <c r="M9">
        <f>Nestle_CashFlow!B3</f>
        <v>2707</v>
      </c>
      <c r="N9">
        <f>Nestle_CashFlow!F3</f>
        <v>191</v>
      </c>
      <c r="O9" s="3">
        <f>Ratios!L9</f>
        <v>1.26</v>
      </c>
    </row>
    <row r="10" spans="1:15">
      <c r="A10" t="s">
        <v>41</v>
      </c>
      <c r="B10" t="s">
        <v>11</v>
      </c>
      <c r="C10">
        <f>Nestle_Financials!B4</f>
        <v>19126.3</v>
      </c>
      <c r="D10">
        <f>Nestle_Financials!D4</f>
        <v>8844.41</v>
      </c>
      <c r="E10">
        <f>Nestle_Financials!E4</f>
        <v>4470.99</v>
      </c>
      <c r="F10">
        <f>Nestle_Financials!G4</f>
        <v>2883.17</v>
      </c>
      <c r="G10">
        <f>Nestle_BalanceSheet!B4</f>
        <v>8978.7400000000016</v>
      </c>
      <c r="H10">
        <f>Nestle_BalanceSheet!G4</f>
        <v>96.42</v>
      </c>
      <c r="I10">
        <f>Nestle_BalanceSheet!H4</f>
        <v>6519.57</v>
      </c>
      <c r="J10">
        <f>Ratios!C10</f>
        <v>0.95</v>
      </c>
      <c r="K10" s="3">
        <f>Ratios!G10</f>
        <v>1.1724158964203368</v>
      </c>
      <c r="L10" s="3">
        <f>Ratios!F10</f>
        <v>25.5</v>
      </c>
      <c r="M10">
        <f>Nestle_CashFlow!B4</f>
        <v>3456</v>
      </c>
      <c r="N10">
        <f>Nestle_CashFlow!F4</f>
        <v>94</v>
      </c>
      <c r="O10" s="3">
        <f>Ratios!L10</f>
        <v>1.17</v>
      </c>
    </row>
    <row r="11" spans="1:15">
      <c r="A11" t="s">
        <v>41</v>
      </c>
      <c r="B11" t="s">
        <v>12</v>
      </c>
      <c r="C11">
        <f>Nestle_Financials!B5</f>
        <v>24393.89</v>
      </c>
      <c r="D11">
        <f>Nestle_Financials!D5</f>
        <v>10292.17</v>
      </c>
      <c r="E11">
        <f>Nestle_Financials!E5</f>
        <v>5843.12</v>
      </c>
      <c r="F11">
        <f>Nestle_Financials!G5</f>
        <v>3773.8500000000004</v>
      </c>
      <c r="G11">
        <f>Nestle_BalanceSheet!B5</f>
        <v>10523.06</v>
      </c>
      <c r="H11">
        <f>Nestle_BalanceSheet!G5</f>
        <v>96.42</v>
      </c>
      <c r="I11">
        <f>Nestle_BalanceSheet!H5</f>
        <v>7182.17</v>
      </c>
      <c r="J11">
        <f>Ratios!C11</f>
        <v>0.88</v>
      </c>
      <c r="K11" s="3">
        <f>Ratios!G11</f>
        <v>1.1295942099260976</v>
      </c>
      <c r="L11" s="3">
        <f>Ratios!F11</f>
        <v>0</v>
      </c>
      <c r="M11">
        <f>Nestle_CashFlow!B5</f>
        <v>3925</v>
      </c>
      <c r="N11">
        <f>Nestle_CashFlow!F5</f>
        <v>-448</v>
      </c>
      <c r="O11" s="3">
        <f>Ratios!L11</f>
        <v>1.26</v>
      </c>
    </row>
    <row r="12" spans="1:15">
      <c r="A12" t="s">
        <v>41</v>
      </c>
      <c r="B12" t="s">
        <v>13</v>
      </c>
      <c r="C12">
        <f>Nestle_Financials!B6</f>
        <v>20201.560000000001</v>
      </c>
      <c r="D12">
        <f>Nestle_Financials!D6</f>
        <v>8508.7000000000007</v>
      </c>
      <c r="E12">
        <f>Nestle_Financials!E6</f>
        <v>4771.3300000000008</v>
      </c>
      <c r="F12">
        <f>Nestle_Financials!G6</f>
        <v>2962.4400000000005</v>
      </c>
      <c r="G12">
        <f>Nestle_BalanceSheet!B6</f>
        <v>12323.890000000001</v>
      </c>
      <c r="H12">
        <f>Nestle_BalanceSheet!G6</f>
        <v>96.42</v>
      </c>
      <c r="I12">
        <f>Nestle_BalanceSheet!H6</f>
        <v>8206.74</v>
      </c>
      <c r="J12">
        <f>Ratios!C12</f>
        <v>0.8</v>
      </c>
      <c r="K12" s="3">
        <f>Ratios!G12</f>
        <v>0.71953657262912474</v>
      </c>
      <c r="L12" s="3">
        <f>Ratios!F12</f>
        <v>23.12</v>
      </c>
      <c r="M12">
        <f>Nestle_CashFlow!B6</f>
        <v>2188</v>
      </c>
      <c r="N12">
        <f>Nestle_CashFlow!F6</f>
        <v>-1470</v>
      </c>
      <c r="O12" s="3">
        <f>Ratios!L12</f>
        <v>1.48</v>
      </c>
    </row>
    <row r="13" spans="1:15">
      <c r="A13" t="s">
        <v>41</v>
      </c>
      <c r="B13" t="s">
        <v>14</v>
      </c>
      <c r="C13">
        <f>Nestle_Financials!B7</f>
        <v>23154.6</v>
      </c>
      <c r="D13">
        <f>Nestle_Financials!D7</f>
        <v>9526.9599999999991</v>
      </c>
      <c r="E13">
        <f>Nestle_Financials!E7</f>
        <v>5306.9599999999991</v>
      </c>
      <c r="F13">
        <f>Nestle_Financials!G7</f>
        <v>3384.369999999999</v>
      </c>
      <c r="G13">
        <f>Nestle_BalanceSheet!B7</f>
        <v>13357.17</v>
      </c>
      <c r="H13">
        <f>Nestle_BalanceSheet!G7</f>
        <v>192.83</v>
      </c>
      <c r="I13">
        <f>Nestle_BalanceSheet!H7</f>
        <v>8047.93</v>
      </c>
      <c r="J13">
        <f>Ratios!C13</f>
        <v>0.96</v>
      </c>
      <c r="K13" s="3">
        <f>Ratios!G13</f>
        <v>0.6374490510882912</v>
      </c>
      <c r="L13" s="3">
        <f>Ratios!F13</f>
        <v>22.58</v>
      </c>
      <c r="M13">
        <f>Nestle_CashFlow!B7</f>
        <v>5841</v>
      </c>
      <c r="N13">
        <f>Nestle_CashFlow!F7</f>
        <v>2037</v>
      </c>
      <c r="O13" s="3">
        <f>Ratios!L13</f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HUL_Financials</vt:lpstr>
      <vt:lpstr>HUL_BalanceSheet</vt:lpstr>
      <vt:lpstr>HUL_CashFlow</vt:lpstr>
      <vt:lpstr>Nestle_Financials</vt:lpstr>
      <vt:lpstr>Nestle_BalanceSheet</vt:lpstr>
      <vt:lpstr>Nestle_CashFlow</vt:lpstr>
      <vt:lpstr>Ratios</vt:lpstr>
      <vt:lpstr>Combined_Data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Patidar</cp:lastModifiedBy>
  <dcterms:created xsi:type="dcterms:W3CDTF">2026-07-17T14:43:26Z</dcterms:created>
  <dcterms:modified xsi:type="dcterms:W3CDTF">2026-07-17T16:01:31Z</dcterms:modified>
</cp:coreProperties>
</file>