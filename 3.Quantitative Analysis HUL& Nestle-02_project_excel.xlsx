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ok N Klean\"/>
    </mc:Choice>
  </mc:AlternateContent>
  <xr:revisionPtr revIDLastSave="0" documentId="13_ncr:1_{A9C75D65-C4D3-40AD-960D-899CD6DEA717}" xr6:coauthVersionLast="47" xr6:coauthVersionMax="47" xr10:uidLastSave="{00000000-0000-0000-0000-000000000000}"/>
  <bookViews>
    <workbookView xWindow="-120" yWindow="-120" windowWidth="20730" windowHeight="11160" tabRatio="933" xr2:uid="{D4886810-D9CC-4231-AA87-2302A306BB27}"/>
  </bookViews>
  <sheets>
    <sheet name="Financials&gt;" sheetId="1" r:id="rId1"/>
    <sheet name="Income Statement" sheetId="3" r:id="rId2"/>
    <sheet name="Balance Sheet" sheetId="11" r:id="rId3"/>
    <sheet name="Cash Flow Statement " sheetId="12" r:id="rId4"/>
    <sheet name="Ratio Analysis" sheetId="6" r:id="rId5"/>
    <sheet name="Graphical Represantation" sheetId="17" r:id="rId6"/>
    <sheet name="Data&gt;" sheetId="4" r:id="rId7"/>
    <sheet name="Data Sheet1" sheetId="2" r:id="rId8"/>
    <sheet name="Data Sheet2" sheetId="9" r:id="rId9"/>
    <sheet name="Cashflow H" sheetId="13" r:id="rId10"/>
    <sheet name="Cash flow N" sheetId="14" r:id="rId1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Sheet1'!$E$1</definedName>
  </definedName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F8" i="3"/>
  <c r="G8" i="3"/>
  <c r="H8" i="3"/>
  <c r="I8" i="3"/>
  <c r="L26" i="6"/>
  <c r="M26" i="6"/>
  <c r="N26" i="6"/>
  <c r="O26" i="6"/>
  <c r="P26" i="6"/>
  <c r="L27" i="6"/>
  <c r="M27" i="6"/>
  <c r="N27" i="6"/>
  <c r="O27" i="6"/>
  <c r="P27" i="6"/>
  <c r="L28" i="6"/>
  <c r="M28" i="6"/>
  <c r="N28" i="6"/>
  <c r="O28" i="6"/>
  <c r="P28" i="6"/>
  <c r="L29" i="6"/>
  <c r="M29" i="6"/>
  <c r="N29" i="6"/>
  <c r="O29" i="6"/>
  <c r="P29" i="6"/>
  <c r="L30" i="6"/>
  <c r="M30" i="6"/>
  <c r="N30" i="6"/>
  <c r="O30" i="6"/>
  <c r="P30" i="6"/>
  <c r="K30" i="6"/>
  <c r="K29" i="6"/>
  <c r="K28" i="6"/>
  <c r="K27" i="6"/>
  <c r="K26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7" i="6"/>
  <c r="G27" i="6"/>
  <c r="F27" i="6"/>
  <c r="E27" i="6"/>
  <c r="D27" i="6"/>
  <c r="H26" i="6"/>
  <c r="G26" i="6"/>
  <c r="F26" i="6"/>
  <c r="E26" i="6"/>
  <c r="D26" i="6"/>
  <c r="C30" i="6"/>
  <c r="C29" i="6"/>
  <c r="C28" i="6"/>
  <c r="C27" i="6"/>
  <c r="C26" i="6"/>
  <c r="L20" i="6"/>
  <c r="M20" i="6"/>
  <c r="N20" i="6"/>
  <c r="O20" i="6"/>
  <c r="P20" i="6"/>
  <c r="L21" i="6"/>
  <c r="L23" i="6" s="1"/>
  <c r="M21" i="6"/>
  <c r="N21" i="6"/>
  <c r="N23" i="6" s="1"/>
  <c r="O21" i="6"/>
  <c r="P21" i="6"/>
  <c r="P23" i="6" s="1"/>
  <c r="L22" i="6"/>
  <c r="M22" i="6"/>
  <c r="N22" i="6"/>
  <c r="O22" i="6"/>
  <c r="O23" i="6" s="1"/>
  <c r="P22" i="6"/>
  <c r="L24" i="6"/>
  <c r="M24" i="6"/>
  <c r="N24" i="6"/>
  <c r="O24" i="6"/>
  <c r="P24" i="6"/>
  <c r="K24" i="6"/>
  <c r="K22" i="6"/>
  <c r="K21" i="6"/>
  <c r="K23" i="6" s="1"/>
  <c r="K20" i="6"/>
  <c r="D24" i="6"/>
  <c r="E24" i="6"/>
  <c r="F24" i="6"/>
  <c r="G24" i="6"/>
  <c r="H24" i="6"/>
  <c r="C24" i="6"/>
  <c r="D20" i="6"/>
  <c r="E20" i="6"/>
  <c r="F20" i="6"/>
  <c r="G20" i="6"/>
  <c r="H20" i="6"/>
  <c r="D22" i="6"/>
  <c r="E22" i="6"/>
  <c r="F22" i="6"/>
  <c r="G22" i="6"/>
  <c r="H22" i="6"/>
  <c r="C22" i="6"/>
  <c r="C20" i="6"/>
  <c r="L16" i="6"/>
  <c r="M16" i="6"/>
  <c r="N16" i="6"/>
  <c r="O16" i="6"/>
  <c r="P16" i="6"/>
  <c r="L17" i="6"/>
  <c r="M17" i="6"/>
  <c r="N17" i="6"/>
  <c r="O17" i="6"/>
  <c r="P17" i="6"/>
  <c r="L18" i="6"/>
  <c r="M18" i="6"/>
  <c r="N18" i="6"/>
  <c r="O18" i="6"/>
  <c r="P18" i="6"/>
  <c r="K18" i="6"/>
  <c r="K17" i="6"/>
  <c r="K16" i="6"/>
  <c r="D16" i="6"/>
  <c r="E16" i="6"/>
  <c r="F16" i="6"/>
  <c r="G16" i="6"/>
  <c r="H16" i="6"/>
  <c r="D17" i="6"/>
  <c r="E17" i="6"/>
  <c r="F17" i="6"/>
  <c r="G17" i="6"/>
  <c r="H17" i="6"/>
  <c r="G18" i="6"/>
  <c r="C17" i="6"/>
  <c r="C16" i="6"/>
  <c r="L12" i="6"/>
  <c r="M12" i="6"/>
  <c r="N12" i="6"/>
  <c r="O12" i="6"/>
  <c r="P12" i="6"/>
  <c r="L13" i="6"/>
  <c r="M13" i="6"/>
  <c r="N13" i="6"/>
  <c r="O13" i="6"/>
  <c r="P13" i="6"/>
  <c r="L14" i="6"/>
  <c r="M14" i="6"/>
  <c r="N14" i="6"/>
  <c r="O14" i="6"/>
  <c r="P14" i="6"/>
  <c r="K14" i="6"/>
  <c r="K13" i="6"/>
  <c r="K12" i="6"/>
  <c r="D12" i="6"/>
  <c r="D18" i="6" s="1"/>
  <c r="E12" i="6"/>
  <c r="E18" i="6" s="1"/>
  <c r="F12" i="6"/>
  <c r="F18" i="6" s="1"/>
  <c r="G12" i="6"/>
  <c r="H12" i="6"/>
  <c r="H18" i="6" s="1"/>
  <c r="D13" i="6"/>
  <c r="E13" i="6"/>
  <c r="F13" i="6"/>
  <c r="G13" i="6"/>
  <c r="H13" i="6"/>
  <c r="D14" i="6"/>
  <c r="E14" i="6"/>
  <c r="F14" i="6"/>
  <c r="G14" i="6"/>
  <c r="H14" i="6"/>
  <c r="C14" i="6"/>
  <c r="C13" i="6"/>
  <c r="C12" i="6"/>
  <c r="C18" i="6" s="1"/>
  <c r="L11" i="6"/>
  <c r="M11" i="6"/>
  <c r="N11" i="6"/>
  <c r="O11" i="6"/>
  <c r="P11" i="6"/>
  <c r="K11" i="6"/>
  <c r="D11" i="6"/>
  <c r="E11" i="6"/>
  <c r="F11" i="6"/>
  <c r="G11" i="6"/>
  <c r="H11" i="6"/>
  <c r="C11" i="6"/>
  <c r="M8" i="6"/>
  <c r="N8" i="6"/>
  <c r="O8" i="6"/>
  <c r="P8" i="6"/>
  <c r="M9" i="6"/>
  <c r="N9" i="6"/>
  <c r="O9" i="6"/>
  <c r="P9" i="6"/>
  <c r="L9" i="6"/>
  <c r="L8" i="6"/>
  <c r="E8" i="6"/>
  <c r="F8" i="6"/>
  <c r="G8" i="6"/>
  <c r="H8" i="6"/>
  <c r="E9" i="6"/>
  <c r="F9" i="6"/>
  <c r="G9" i="6"/>
  <c r="H9" i="6"/>
  <c r="D8" i="6"/>
  <c r="D9" i="6"/>
  <c r="M7" i="6"/>
  <c r="N7" i="6"/>
  <c r="O7" i="6"/>
  <c r="P7" i="6"/>
  <c r="L7" i="6"/>
  <c r="E7" i="6"/>
  <c r="F7" i="6"/>
  <c r="G7" i="6"/>
  <c r="H7" i="6"/>
  <c r="D7" i="6"/>
  <c r="M6" i="6"/>
  <c r="N6" i="6"/>
  <c r="O6" i="6"/>
  <c r="P6" i="6"/>
  <c r="L6" i="6"/>
  <c r="E6" i="6"/>
  <c r="F6" i="6"/>
  <c r="G6" i="6"/>
  <c r="H6" i="6"/>
  <c r="D6" i="6"/>
  <c r="M5" i="6"/>
  <c r="N5" i="6"/>
  <c r="O5" i="6"/>
  <c r="P5" i="6"/>
  <c r="L5" i="6"/>
  <c r="E5" i="6"/>
  <c r="F5" i="6"/>
  <c r="G5" i="6"/>
  <c r="H5" i="6"/>
  <c r="D5" i="6"/>
  <c r="M23" i="6" l="1"/>
  <c r="L2" i="6"/>
  <c r="F35" i="12"/>
  <c r="C32" i="12"/>
  <c r="D32" i="12"/>
  <c r="E32" i="12"/>
  <c r="F32" i="12"/>
  <c r="G32" i="12"/>
  <c r="H32" i="12"/>
  <c r="C33" i="12"/>
  <c r="D33" i="12"/>
  <c r="E33" i="12"/>
  <c r="F33" i="12"/>
  <c r="G33" i="12"/>
  <c r="H33" i="12"/>
  <c r="C34" i="12"/>
  <c r="D34" i="12"/>
  <c r="E34" i="12"/>
  <c r="F34" i="12"/>
  <c r="G34" i="12"/>
  <c r="H34" i="12"/>
  <c r="C29" i="12"/>
  <c r="D29" i="12"/>
  <c r="E29" i="12"/>
  <c r="F29" i="12"/>
  <c r="G29" i="12"/>
  <c r="H29" i="12"/>
  <c r="C30" i="12"/>
  <c r="D30" i="12"/>
  <c r="E30" i="12"/>
  <c r="F30" i="12"/>
  <c r="G30" i="12"/>
  <c r="H30" i="12"/>
  <c r="C31" i="12"/>
  <c r="D31" i="12"/>
  <c r="E31" i="12"/>
  <c r="F31" i="12"/>
  <c r="G31" i="12"/>
  <c r="H31" i="12"/>
  <c r="D28" i="12"/>
  <c r="D35" i="12" s="1"/>
  <c r="E28" i="12"/>
  <c r="E35" i="12" s="1"/>
  <c r="F28" i="12"/>
  <c r="G28" i="12"/>
  <c r="G35" i="12" s="1"/>
  <c r="H28" i="12"/>
  <c r="H35" i="12" s="1"/>
  <c r="C28" i="12"/>
  <c r="C35" i="12" s="1"/>
  <c r="C18" i="12"/>
  <c r="D18" i="12"/>
  <c r="E18" i="12"/>
  <c r="F18" i="12"/>
  <c r="G18" i="12"/>
  <c r="H18" i="12"/>
  <c r="C19" i="12"/>
  <c r="D19" i="12"/>
  <c r="E19" i="12"/>
  <c r="F19" i="12"/>
  <c r="G19" i="12"/>
  <c r="H19" i="12"/>
  <c r="C20" i="12"/>
  <c r="D20" i="12"/>
  <c r="E20" i="12"/>
  <c r="F20" i="12"/>
  <c r="G20" i="12"/>
  <c r="H20" i="12"/>
  <c r="C21" i="12"/>
  <c r="D21" i="12"/>
  <c r="E21" i="12"/>
  <c r="F21" i="12"/>
  <c r="G21" i="12"/>
  <c r="H21" i="12"/>
  <c r="C22" i="12"/>
  <c r="D22" i="12"/>
  <c r="E22" i="12"/>
  <c r="F22" i="12"/>
  <c r="G22" i="12"/>
  <c r="H22" i="12"/>
  <c r="C23" i="12"/>
  <c r="D23" i="12"/>
  <c r="E23" i="12"/>
  <c r="F23" i="12"/>
  <c r="G23" i="12"/>
  <c r="H23" i="12"/>
  <c r="C24" i="12"/>
  <c r="D24" i="12"/>
  <c r="E24" i="12"/>
  <c r="F24" i="12"/>
  <c r="G24" i="12"/>
  <c r="H24" i="12"/>
  <c r="D17" i="12"/>
  <c r="D25" i="12" s="1"/>
  <c r="E17" i="12"/>
  <c r="E25" i="12" s="1"/>
  <c r="F17" i="12"/>
  <c r="F25" i="12" s="1"/>
  <c r="G17" i="12"/>
  <c r="G25" i="12" s="1"/>
  <c r="H17" i="12"/>
  <c r="H25" i="12" s="1"/>
  <c r="C17" i="12"/>
  <c r="C25" i="12" s="1"/>
  <c r="H6" i="12"/>
  <c r="H7" i="12"/>
  <c r="H8" i="12"/>
  <c r="H9" i="12"/>
  <c r="H10" i="12"/>
  <c r="H11" i="12"/>
  <c r="H12" i="12"/>
  <c r="H13" i="12"/>
  <c r="C7" i="12"/>
  <c r="D7" i="12"/>
  <c r="E7" i="12"/>
  <c r="F7" i="12"/>
  <c r="G7" i="12"/>
  <c r="C8" i="12"/>
  <c r="D8" i="12"/>
  <c r="E8" i="12"/>
  <c r="F8" i="12"/>
  <c r="G8" i="12"/>
  <c r="C9" i="12"/>
  <c r="D9" i="12"/>
  <c r="E9" i="12"/>
  <c r="F9" i="12"/>
  <c r="G9" i="12"/>
  <c r="C10" i="12"/>
  <c r="D10" i="12"/>
  <c r="E10" i="12"/>
  <c r="F10" i="12"/>
  <c r="G10" i="12"/>
  <c r="C11" i="12"/>
  <c r="D11" i="12"/>
  <c r="E11" i="12"/>
  <c r="F11" i="12"/>
  <c r="G11" i="12"/>
  <c r="C12" i="12"/>
  <c r="D12" i="12"/>
  <c r="E12" i="12"/>
  <c r="F12" i="12"/>
  <c r="G12" i="12"/>
  <c r="C13" i="12"/>
  <c r="D13" i="12"/>
  <c r="E13" i="12"/>
  <c r="F13" i="12"/>
  <c r="G13" i="12"/>
  <c r="D6" i="12"/>
  <c r="E6" i="12"/>
  <c r="F6" i="12"/>
  <c r="G6" i="12"/>
  <c r="C6" i="12"/>
  <c r="K29" i="12"/>
  <c r="L29" i="12"/>
  <c r="M29" i="12"/>
  <c r="N29" i="12"/>
  <c r="O29" i="12"/>
  <c r="P29" i="12"/>
  <c r="K30" i="12"/>
  <c r="L30" i="12"/>
  <c r="M30" i="12"/>
  <c r="N30" i="12"/>
  <c r="O30" i="12"/>
  <c r="P30" i="12"/>
  <c r="K31" i="12"/>
  <c r="L31" i="12"/>
  <c r="M31" i="12"/>
  <c r="N31" i="12"/>
  <c r="O31" i="12"/>
  <c r="P31" i="12"/>
  <c r="K32" i="12"/>
  <c r="L32" i="12"/>
  <c r="M32" i="12"/>
  <c r="N32" i="12"/>
  <c r="O32" i="12"/>
  <c r="P32" i="12"/>
  <c r="K33" i="12"/>
  <c r="L33" i="12"/>
  <c r="M33" i="12"/>
  <c r="N33" i="12"/>
  <c r="O33" i="12"/>
  <c r="P33" i="12"/>
  <c r="K34" i="12"/>
  <c r="L34" i="12"/>
  <c r="M34" i="12"/>
  <c r="N34" i="12"/>
  <c r="O34" i="12"/>
  <c r="P34" i="12"/>
  <c r="L28" i="12"/>
  <c r="M28" i="12"/>
  <c r="N28" i="12"/>
  <c r="O28" i="12"/>
  <c r="P28" i="12"/>
  <c r="K28" i="12"/>
  <c r="K18" i="12"/>
  <c r="L18" i="12"/>
  <c r="M18" i="12"/>
  <c r="N18" i="12"/>
  <c r="O18" i="12"/>
  <c r="P18" i="12"/>
  <c r="K19" i="12"/>
  <c r="L19" i="12"/>
  <c r="M19" i="12"/>
  <c r="N19" i="12"/>
  <c r="O19" i="12"/>
  <c r="P19" i="12"/>
  <c r="K20" i="12"/>
  <c r="L20" i="12"/>
  <c r="M20" i="12"/>
  <c r="N20" i="12"/>
  <c r="O20" i="12"/>
  <c r="P20" i="12"/>
  <c r="K21" i="12"/>
  <c r="L21" i="12"/>
  <c r="M21" i="12"/>
  <c r="N21" i="12"/>
  <c r="O21" i="12"/>
  <c r="P21" i="12"/>
  <c r="K22" i="12"/>
  <c r="L22" i="12"/>
  <c r="M22" i="12"/>
  <c r="N22" i="12"/>
  <c r="O22" i="12"/>
  <c r="P22" i="12"/>
  <c r="K23" i="12"/>
  <c r="L23" i="12"/>
  <c r="M23" i="12"/>
  <c r="N23" i="12"/>
  <c r="O23" i="12"/>
  <c r="P23" i="12"/>
  <c r="K24" i="12"/>
  <c r="L24" i="12"/>
  <c r="M24" i="12"/>
  <c r="N24" i="12"/>
  <c r="O24" i="12"/>
  <c r="P24" i="12"/>
  <c r="L17" i="12"/>
  <c r="M17" i="12"/>
  <c r="N17" i="12"/>
  <c r="O17" i="12"/>
  <c r="P17" i="12"/>
  <c r="K17" i="12"/>
  <c r="K13" i="12"/>
  <c r="L13" i="12"/>
  <c r="M13" i="12"/>
  <c r="N13" i="12"/>
  <c r="O13" i="12"/>
  <c r="P13" i="12"/>
  <c r="L12" i="12"/>
  <c r="M12" i="12"/>
  <c r="N12" i="12"/>
  <c r="O12" i="12"/>
  <c r="P12" i="12"/>
  <c r="K8" i="12"/>
  <c r="L8" i="12"/>
  <c r="M8" i="12"/>
  <c r="N8" i="12"/>
  <c r="O8" i="12"/>
  <c r="P8" i="12"/>
  <c r="K9" i="12"/>
  <c r="L9" i="12"/>
  <c r="M9" i="12"/>
  <c r="N9" i="12"/>
  <c r="O9" i="12"/>
  <c r="P9" i="12"/>
  <c r="K10" i="12"/>
  <c r="L10" i="12"/>
  <c r="M10" i="12"/>
  <c r="N10" i="12"/>
  <c r="O10" i="12"/>
  <c r="P10" i="12"/>
  <c r="K11" i="12"/>
  <c r="L11" i="12"/>
  <c r="M11" i="12"/>
  <c r="N11" i="12"/>
  <c r="O11" i="12"/>
  <c r="P11" i="12"/>
  <c r="K12" i="12"/>
  <c r="K7" i="12"/>
  <c r="L7" i="12"/>
  <c r="M7" i="12"/>
  <c r="N7" i="12"/>
  <c r="O7" i="12"/>
  <c r="P7" i="12"/>
  <c r="L6" i="12"/>
  <c r="L14" i="12" s="1"/>
  <c r="M6" i="12"/>
  <c r="M14" i="12" s="1"/>
  <c r="N6" i="12"/>
  <c r="N14" i="12" s="1"/>
  <c r="O6" i="12"/>
  <c r="O14" i="12" s="1"/>
  <c r="P6" i="12"/>
  <c r="P14" i="12" s="1"/>
  <c r="K6" i="12"/>
  <c r="K14" i="12" s="1"/>
  <c r="M35" i="12"/>
  <c r="E37" i="12" l="1"/>
  <c r="H37" i="12"/>
  <c r="C14" i="12"/>
  <c r="C37" i="12" s="1"/>
  <c r="D14" i="12"/>
  <c r="D37" i="12" s="1"/>
  <c r="E14" i="12"/>
  <c r="O35" i="12"/>
  <c r="K35" i="12"/>
  <c r="G14" i="12"/>
  <c r="G37" i="12" s="1"/>
  <c r="H14" i="12"/>
  <c r="M25" i="12"/>
  <c r="F14" i="12"/>
  <c r="F37" i="12" s="1"/>
  <c r="N35" i="12"/>
  <c r="L35" i="12"/>
  <c r="P35" i="12"/>
  <c r="N25" i="12"/>
  <c r="K25" i="12"/>
  <c r="K37" i="12" s="1"/>
  <c r="O25" i="12"/>
  <c r="L25" i="12"/>
  <c r="L37" i="12" s="1"/>
  <c r="P25" i="12"/>
  <c r="P37" i="12" s="1"/>
  <c r="M37" i="12"/>
  <c r="O37" i="12" l="1"/>
  <c r="N37" i="12"/>
  <c r="L2" i="12" l="1"/>
  <c r="D2" i="12"/>
  <c r="H3" i="12"/>
  <c r="P3" i="12" s="1"/>
  <c r="G3" i="12"/>
  <c r="O3" i="12" s="1"/>
  <c r="F3" i="12"/>
  <c r="N3" i="12" s="1"/>
  <c r="E3" i="12"/>
  <c r="M3" i="12" s="1"/>
  <c r="D3" i="12"/>
  <c r="L3" i="12" s="1"/>
  <c r="C3" i="12"/>
  <c r="K3" i="12" s="1"/>
  <c r="O20" i="11"/>
  <c r="K18" i="11"/>
  <c r="L18" i="11"/>
  <c r="M18" i="11"/>
  <c r="N18" i="11"/>
  <c r="O18" i="11"/>
  <c r="P18" i="11"/>
  <c r="K19" i="11"/>
  <c r="L19" i="11"/>
  <c r="M19" i="11"/>
  <c r="N19" i="11"/>
  <c r="N20" i="11" s="1"/>
  <c r="O19" i="11"/>
  <c r="P19" i="11"/>
  <c r="L17" i="11"/>
  <c r="L20" i="11" s="1"/>
  <c r="M17" i="11"/>
  <c r="M20" i="11" s="1"/>
  <c r="N17" i="11"/>
  <c r="O17" i="11"/>
  <c r="P17" i="11"/>
  <c r="P20" i="11" s="1"/>
  <c r="K17" i="11"/>
  <c r="K20" i="11" s="1"/>
  <c r="L14" i="11"/>
  <c r="M14" i="11"/>
  <c r="N14" i="11"/>
  <c r="O14" i="11"/>
  <c r="O15" i="11" s="1"/>
  <c r="P14" i="11"/>
  <c r="K14" i="11"/>
  <c r="K13" i="11"/>
  <c r="L13" i="11"/>
  <c r="M13" i="11"/>
  <c r="N13" i="11"/>
  <c r="O13" i="11"/>
  <c r="P13" i="11"/>
  <c r="L12" i="11"/>
  <c r="M12" i="11"/>
  <c r="N12" i="11"/>
  <c r="O12" i="11"/>
  <c r="P12" i="11"/>
  <c r="P15" i="11" s="1"/>
  <c r="K12" i="11"/>
  <c r="L11" i="11"/>
  <c r="L15" i="11" s="1"/>
  <c r="M11" i="11"/>
  <c r="N11" i="11"/>
  <c r="N15" i="11" s="1"/>
  <c r="O11" i="11"/>
  <c r="P11" i="11"/>
  <c r="K11" i="11"/>
  <c r="L5" i="11"/>
  <c r="M5" i="11"/>
  <c r="N5" i="11"/>
  <c r="O5" i="11"/>
  <c r="P5" i="11"/>
  <c r="L6" i="11"/>
  <c r="M6" i="11"/>
  <c r="N6" i="11"/>
  <c r="O6" i="11"/>
  <c r="P6" i="11"/>
  <c r="L7" i="11"/>
  <c r="M7" i="11"/>
  <c r="N7" i="11"/>
  <c r="O7" i="11"/>
  <c r="P7" i="11"/>
  <c r="L8" i="11"/>
  <c r="M8" i="11"/>
  <c r="N8" i="11"/>
  <c r="O8" i="11"/>
  <c r="P8" i="11"/>
  <c r="O9" i="11"/>
  <c r="K6" i="11"/>
  <c r="K7" i="11"/>
  <c r="K8" i="11"/>
  <c r="N3" i="11"/>
  <c r="O3" i="11"/>
  <c r="K5" i="11"/>
  <c r="K9" i="11" s="1"/>
  <c r="K15" i="11"/>
  <c r="I22" i="11"/>
  <c r="C18" i="11"/>
  <c r="D18" i="11"/>
  <c r="D20" i="11" s="1"/>
  <c r="E18" i="11"/>
  <c r="F18" i="11"/>
  <c r="G18" i="11"/>
  <c r="H18" i="11"/>
  <c r="C19" i="11"/>
  <c r="D19" i="11"/>
  <c r="E19" i="11"/>
  <c r="F19" i="11"/>
  <c r="G19" i="11"/>
  <c r="H19" i="11"/>
  <c r="D17" i="11"/>
  <c r="E17" i="11"/>
  <c r="F17" i="11"/>
  <c r="G17" i="11"/>
  <c r="H17" i="11"/>
  <c r="C17" i="11"/>
  <c r="C20" i="11" s="1"/>
  <c r="D14" i="11"/>
  <c r="E14" i="11"/>
  <c r="F14" i="11"/>
  <c r="G14" i="11"/>
  <c r="H14" i="11"/>
  <c r="C14" i="11"/>
  <c r="C12" i="11"/>
  <c r="D12" i="11"/>
  <c r="D15" i="11" s="1"/>
  <c r="E12" i="11"/>
  <c r="F12" i="11"/>
  <c r="G12" i="11"/>
  <c r="H12" i="11"/>
  <c r="C13" i="11"/>
  <c r="D13" i="11"/>
  <c r="E13" i="11"/>
  <c r="F13" i="11"/>
  <c r="G13" i="11"/>
  <c r="H13" i="11"/>
  <c r="D11" i="11"/>
  <c r="E11" i="11"/>
  <c r="F11" i="11"/>
  <c r="G11" i="11"/>
  <c r="H11" i="11"/>
  <c r="C11" i="11"/>
  <c r="E15" i="11"/>
  <c r="C8" i="11"/>
  <c r="D8" i="11"/>
  <c r="E8" i="11"/>
  <c r="F8" i="11"/>
  <c r="G8" i="11"/>
  <c r="H8" i="11"/>
  <c r="D7" i="11"/>
  <c r="E7" i="11"/>
  <c r="F7" i="11"/>
  <c r="G7" i="11"/>
  <c r="H7" i="11"/>
  <c r="C7" i="11"/>
  <c r="C6" i="11"/>
  <c r="D6" i="11"/>
  <c r="E6" i="11"/>
  <c r="F6" i="11"/>
  <c r="G6" i="11"/>
  <c r="H6" i="11"/>
  <c r="D5" i="11"/>
  <c r="D9" i="11" s="1"/>
  <c r="E5" i="11"/>
  <c r="E9" i="11" s="1"/>
  <c r="F5" i="11"/>
  <c r="F9" i="11" s="1"/>
  <c r="G5" i="11"/>
  <c r="G9" i="11" s="1"/>
  <c r="H5" i="11"/>
  <c r="H9" i="11" s="1"/>
  <c r="C5" i="11"/>
  <c r="C9" i="11" s="1"/>
  <c r="H20" i="11"/>
  <c r="L2" i="11"/>
  <c r="D2" i="11"/>
  <c r="H3" i="11"/>
  <c r="P3" i="11" s="1"/>
  <c r="G3" i="11"/>
  <c r="F3" i="11"/>
  <c r="E3" i="11"/>
  <c r="M3" i="11" s="1"/>
  <c r="D3" i="11"/>
  <c r="L3" i="11" s="1"/>
  <c r="C3" i="11"/>
  <c r="K3" i="11" s="1"/>
  <c r="O42" i="3"/>
  <c r="M37" i="3"/>
  <c r="M42" i="3" s="1"/>
  <c r="N37" i="3"/>
  <c r="N42" i="3" s="1"/>
  <c r="O37" i="3"/>
  <c r="P37" i="3"/>
  <c r="P42" i="3" s="1"/>
  <c r="Q37" i="3"/>
  <c r="Q42" i="3" s="1"/>
  <c r="L37" i="3"/>
  <c r="L42" i="3" s="1"/>
  <c r="R31" i="3"/>
  <c r="M31" i="3"/>
  <c r="N31" i="3"/>
  <c r="O31" i="3"/>
  <c r="P31" i="3"/>
  <c r="Q31" i="3"/>
  <c r="L31" i="3"/>
  <c r="R25" i="3"/>
  <c r="M25" i="3"/>
  <c r="N25" i="3"/>
  <c r="O25" i="3"/>
  <c r="P25" i="3"/>
  <c r="P26" i="3" s="1"/>
  <c r="Q25" i="3"/>
  <c r="L25" i="3"/>
  <c r="R22" i="3"/>
  <c r="M22" i="3"/>
  <c r="N22" i="3"/>
  <c r="O22" i="3"/>
  <c r="P22" i="3"/>
  <c r="Q22" i="3"/>
  <c r="L22" i="3"/>
  <c r="M16" i="3"/>
  <c r="N16" i="3"/>
  <c r="N17" i="3" s="1"/>
  <c r="O16" i="3"/>
  <c r="P16" i="3"/>
  <c r="Q16" i="3"/>
  <c r="L16" i="3"/>
  <c r="R10" i="3"/>
  <c r="M10" i="3"/>
  <c r="M13" i="3" s="1"/>
  <c r="N10" i="3"/>
  <c r="O10" i="3"/>
  <c r="P10" i="3"/>
  <c r="Q10" i="3"/>
  <c r="L10" i="3"/>
  <c r="C10" i="3"/>
  <c r="R7" i="3"/>
  <c r="P8" i="3"/>
  <c r="Q7" i="3"/>
  <c r="P7" i="3"/>
  <c r="P13" i="3" s="1"/>
  <c r="O7" i="3"/>
  <c r="N7" i="3"/>
  <c r="N13" i="3" s="1"/>
  <c r="N14" i="3" s="1"/>
  <c r="M7" i="3"/>
  <c r="D22" i="11" l="1"/>
  <c r="D24" i="11" s="1"/>
  <c r="M9" i="11"/>
  <c r="M15" i="11"/>
  <c r="H22" i="11"/>
  <c r="H24" i="11" s="1"/>
  <c r="E20" i="11"/>
  <c r="E22" i="11" s="1"/>
  <c r="E24" i="11" s="1"/>
  <c r="N9" i="11"/>
  <c r="H15" i="11"/>
  <c r="F15" i="11"/>
  <c r="F20" i="11"/>
  <c r="P9" i="11"/>
  <c r="L9" i="11"/>
  <c r="F22" i="11"/>
  <c r="F24" i="11" s="1"/>
  <c r="O26" i="3"/>
  <c r="O23" i="3"/>
  <c r="N26" i="3"/>
  <c r="O13" i="3"/>
  <c r="O14" i="3" s="1"/>
  <c r="O17" i="3"/>
  <c r="N23" i="3"/>
  <c r="N19" i="3"/>
  <c r="N28" i="3" s="1"/>
  <c r="N29" i="3" s="1"/>
  <c r="M19" i="3"/>
  <c r="M14" i="3"/>
  <c r="P19" i="3"/>
  <c r="P14" i="3"/>
  <c r="R13" i="3"/>
  <c r="R8" i="3"/>
  <c r="P17" i="3"/>
  <c r="R26" i="3"/>
  <c r="M23" i="3"/>
  <c r="M17" i="3"/>
  <c r="Q23" i="3"/>
  <c r="Q17" i="3"/>
  <c r="R17" i="3"/>
  <c r="Q8" i="3"/>
  <c r="Q13" i="3"/>
  <c r="O19" i="3"/>
  <c r="P23" i="3"/>
  <c r="R23" i="3"/>
  <c r="Q26" i="3"/>
  <c r="M26" i="3"/>
  <c r="O8" i="3"/>
  <c r="R37" i="3"/>
  <c r="R42" i="3" s="1"/>
  <c r="N8" i="3"/>
  <c r="M22" i="11"/>
  <c r="M24" i="11" s="1"/>
  <c r="N22" i="11"/>
  <c r="N24" i="11" s="1"/>
  <c r="L22" i="11"/>
  <c r="K22" i="11"/>
  <c r="K24" i="11" s="1"/>
  <c r="O22" i="11"/>
  <c r="O24" i="11" s="1"/>
  <c r="P22" i="11"/>
  <c r="G20" i="11"/>
  <c r="C15" i="11"/>
  <c r="C22" i="11" s="1"/>
  <c r="C24" i="11" s="1"/>
  <c r="G15" i="11"/>
  <c r="L7" i="3"/>
  <c r="L26" i="3" s="1"/>
  <c r="O11" i="3"/>
  <c r="R11" i="3"/>
  <c r="Q11" i="3"/>
  <c r="N11" i="3"/>
  <c r="M11" i="3"/>
  <c r="C7" i="3"/>
  <c r="N3" i="3"/>
  <c r="K73" i="9"/>
  <c r="J73" i="9"/>
  <c r="I73" i="9"/>
  <c r="H73" i="9"/>
  <c r="K51" i="9"/>
  <c r="J51" i="9"/>
  <c r="I51" i="9"/>
  <c r="H51" i="9"/>
  <c r="G51" i="9"/>
  <c r="F51" i="9"/>
  <c r="E51" i="9"/>
  <c r="D51" i="9"/>
  <c r="C51" i="9"/>
  <c r="B51" i="9"/>
  <c r="K34" i="9"/>
  <c r="J34" i="9"/>
  <c r="I34" i="9"/>
  <c r="H34" i="9"/>
  <c r="G34" i="9"/>
  <c r="F34" i="9"/>
  <c r="E34" i="9"/>
  <c r="D34" i="9"/>
  <c r="C34" i="9"/>
  <c r="B34" i="9"/>
  <c r="K32" i="9"/>
  <c r="J32" i="9"/>
  <c r="I32" i="9"/>
  <c r="H32" i="9"/>
  <c r="G32" i="9"/>
  <c r="F32" i="9"/>
  <c r="E32" i="9"/>
  <c r="D32" i="9"/>
  <c r="C32" i="9"/>
  <c r="B32" i="9"/>
  <c r="K15" i="9"/>
  <c r="B15" i="9"/>
  <c r="B6" i="9"/>
  <c r="E1" i="9"/>
  <c r="P24" i="11" l="1"/>
  <c r="L24" i="11"/>
  <c r="G22" i="11"/>
  <c r="G24" i="11" s="1"/>
  <c r="M8" i="3"/>
  <c r="N34" i="3"/>
  <c r="N35" i="3" s="1"/>
  <c r="N20" i="3"/>
  <c r="N32" i="3"/>
  <c r="O28" i="3"/>
  <c r="O20" i="3"/>
  <c r="R14" i="3"/>
  <c r="R19" i="3"/>
  <c r="Q19" i="3"/>
  <c r="Q14" i="3"/>
  <c r="P20" i="3"/>
  <c r="P28" i="3"/>
  <c r="M20" i="3"/>
  <c r="M28" i="3"/>
  <c r="L13" i="3"/>
  <c r="L17" i="3"/>
  <c r="L23" i="3"/>
  <c r="L11" i="3"/>
  <c r="P11" i="3"/>
  <c r="N39" i="3" l="1"/>
  <c r="L14" i="3"/>
  <c r="L19" i="3"/>
  <c r="M34" i="3"/>
  <c r="M29" i="3"/>
  <c r="M32" i="3"/>
  <c r="O34" i="3"/>
  <c r="O29" i="3"/>
  <c r="O32" i="3"/>
  <c r="Q28" i="3"/>
  <c r="Q20" i="3"/>
  <c r="R28" i="3"/>
  <c r="R20" i="3"/>
  <c r="P34" i="3"/>
  <c r="P29" i="3"/>
  <c r="P32" i="3"/>
  <c r="N43" i="3"/>
  <c r="N45" i="3" s="1"/>
  <c r="O39" i="3" l="1"/>
  <c r="O35" i="3"/>
  <c r="L20" i="3"/>
  <c r="L28" i="3"/>
  <c r="P39" i="3"/>
  <c r="P35" i="3"/>
  <c r="Q34" i="3"/>
  <c r="Q29" i="3"/>
  <c r="Q32" i="3"/>
  <c r="R29" i="3"/>
  <c r="R32" i="3"/>
  <c r="R34" i="3"/>
  <c r="M35" i="3"/>
  <c r="M39" i="3"/>
  <c r="M43" i="3" l="1"/>
  <c r="M45" i="3" s="1"/>
  <c r="N40" i="3"/>
  <c r="P40" i="3"/>
  <c r="P43" i="3"/>
  <c r="P45" i="3" s="1"/>
  <c r="O40" i="3"/>
  <c r="O43" i="3"/>
  <c r="O45" i="3" s="1"/>
  <c r="R35" i="3"/>
  <c r="R39" i="3"/>
  <c r="L34" i="3"/>
  <c r="L29" i="3"/>
  <c r="L32" i="3"/>
  <c r="Q35" i="3"/>
  <c r="Q39" i="3"/>
  <c r="Q40" i="3" l="1"/>
  <c r="Q43" i="3"/>
  <c r="Q45" i="3" s="1"/>
  <c r="L39" i="3"/>
  <c r="L35" i="3"/>
  <c r="R40" i="3"/>
  <c r="R43" i="3"/>
  <c r="R45" i="3" s="1"/>
  <c r="L43" i="3" l="1"/>
  <c r="L45" i="3" s="1"/>
  <c r="M40" i="3"/>
  <c r="R4" i="3" l="1"/>
  <c r="C4" i="3" l="1"/>
  <c r="L4" i="3" s="1"/>
  <c r="D4" i="3"/>
  <c r="M4" i="3" s="1"/>
  <c r="E4" i="3"/>
  <c r="N4" i="3" s="1"/>
  <c r="F4" i="3"/>
  <c r="O4" i="3" s="1"/>
  <c r="G4" i="3"/>
  <c r="P4" i="3" s="1"/>
  <c r="H4" i="3"/>
  <c r="Q4" i="3" s="1"/>
  <c r="D3" i="3"/>
  <c r="B2" i="6" l="1"/>
  <c r="H3" i="6"/>
  <c r="P3" i="6" s="1"/>
  <c r="G3" i="6"/>
  <c r="O3" i="6" s="1"/>
  <c r="F3" i="6"/>
  <c r="N3" i="6" s="1"/>
  <c r="E3" i="6"/>
  <c r="M3" i="6" s="1"/>
  <c r="D3" i="6"/>
  <c r="L3" i="6" s="1"/>
  <c r="C3" i="6"/>
  <c r="K3" i="6" s="1"/>
  <c r="H37" i="3" l="1"/>
  <c r="I37" i="3" s="1"/>
  <c r="I42" i="3" s="1"/>
  <c r="G37" i="3"/>
  <c r="G42" i="3" s="1"/>
  <c r="F37" i="3"/>
  <c r="F42" i="3" s="1"/>
  <c r="E37" i="3"/>
  <c r="E42" i="3" s="1"/>
  <c r="D37" i="3"/>
  <c r="D42" i="3" s="1"/>
  <c r="C37" i="3"/>
  <c r="C42" i="3" s="1"/>
  <c r="I31" i="3"/>
  <c r="H31" i="3"/>
  <c r="G31" i="3"/>
  <c r="F31" i="3"/>
  <c r="E31" i="3"/>
  <c r="D31" i="3"/>
  <c r="C31" i="3"/>
  <c r="H25" i="3"/>
  <c r="G25" i="3"/>
  <c r="F25" i="3"/>
  <c r="E25" i="3"/>
  <c r="D25" i="3"/>
  <c r="C25" i="3"/>
  <c r="I25" i="3"/>
  <c r="I22" i="3"/>
  <c r="H22" i="3"/>
  <c r="G22" i="3"/>
  <c r="F22" i="3"/>
  <c r="E22" i="3"/>
  <c r="D22" i="3"/>
  <c r="C22" i="3"/>
  <c r="H16" i="3"/>
  <c r="G16" i="3"/>
  <c r="F16" i="3"/>
  <c r="E16" i="3"/>
  <c r="D16" i="3"/>
  <c r="C16" i="3"/>
  <c r="I10" i="3"/>
  <c r="H10" i="3"/>
  <c r="G10" i="3"/>
  <c r="F10" i="3"/>
  <c r="E10" i="3"/>
  <c r="D10" i="3"/>
  <c r="I7" i="3"/>
  <c r="I17" i="3" s="1"/>
  <c r="H7" i="3"/>
  <c r="G7" i="3"/>
  <c r="F7" i="3"/>
  <c r="E7" i="3"/>
  <c r="D7" i="3"/>
  <c r="K73" i="2"/>
  <c r="J73" i="2"/>
  <c r="I73" i="2"/>
  <c r="H73" i="2"/>
  <c r="K51" i="2"/>
  <c r="J51" i="2"/>
  <c r="I51" i="2"/>
  <c r="H51" i="2"/>
  <c r="I19" i="3" s="1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H42" i="3" l="1"/>
  <c r="G13" i="3"/>
  <c r="G14" i="3" s="1"/>
  <c r="I26" i="3"/>
  <c r="F13" i="3"/>
  <c r="F14" i="3" s="1"/>
  <c r="G23" i="3"/>
  <c r="I28" i="3"/>
  <c r="C17" i="3"/>
  <c r="I23" i="3"/>
  <c r="H11" i="3"/>
  <c r="D17" i="3"/>
  <c r="C26" i="3"/>
  <c r="C13" i="3"/>
  <c r="C23" i="3"/>
  <c r="D23" i="3"/>
  <c r="H26" i="3"/>
  <c r="E11" i="3"/>
  <c r="F17" i="3"/>
  <c r="E17" i="3"/>
  <c r="E23" i="3"/>
  <c r="D11" i="3"/>
  <c r="I20" i="3"/>
  <c r="F11" i="3"/>
  <c r="G17" i="3"/>
  <c r="F23" i="3"/>
  <c r="F26" i="3"/>
  <c r="D26" i="3"/>
  <c r="H17" i="3"/>
  <c r="G26" i="3"/>
  <c r="H13" i="3"/>
  <c r="H23" i="3"/>
  <c r="C11" i="3"/>
  <c r="I11" i="3"/>
  <c r="D13" i="3"/>
  <c r="D14" i="3" s="1"/>
  <c r="E26" i="3"/>
  <c r="D8" i="3"/>
  <c r="G11" i="3"/>
  <c r="E13" i="3"/>
  <c r="I13" i="3"/>
  <c r="I14" i="3" s="1"/>
  <c r="C19" i="3" l="1"/>
  <c r="C14" i="3"/>
  <c r="F19" i="3"/>
  <c r="F20" i="3" s="1"/>
  <c r="G19" i="3"/>
  <c r="G20" i="3" s="1"/>
  <c r="H19" i="3"/>
  <c r="H14" i="3"/>
  <c r="D19" i="3"/>
  <c r="I32" i="3"/>
  <c r="I34" i="3"/>
  <c r="I29" i="3"/>
  <c r="E19" i="3"/>
  <c r="E14" i="3"/>
  <c r="F28" i="3" l="1"/>
  <c r="F29" i="3" s="1"/>
  <c r="G28" i="3"/>
  <c r="G29" i="3" s="1"/>
  <c r="C20" i="3"/>
  <c r="C28" i="3"/>
  <c r="E20" i="3"/>
  <c r="E28" i="3"/>
  <c r="D20" i="3"/>
  <c r="D28" i="3"/>
  <c r="H20" i="3"/>
  <c r="H28" i="3"/>
  <c r="I35" i="3"/>
  <c r="I39" i="3"/>
  <c r="F34" i="3" l="1"/>
  <c r="F39" i="3" s="1"/>
  <c r="F32" i="3"/>
  <c r="G34" i="3"/>
  <c r="G35" i="3" s="1"/>
  <c r="G32" i="3"/>
  <c r="I43" i="3"/>
  <c r="I45" i="3" s="1"/>
  <c r="H32" i="3"/>
  <c r="H34" i="3"/>
  <c r="H29" i="3"/>
  <c r="D29" i="3"/>
  <c r="D32" i="3"/>
  <c r="D34" i="3"/>
  <c r="C34" i="3"/>
  <c r="C29" i="3"/>
  <c r="C32" i="3"/>
  <c r="E34" i="3"/>
  <c r="E29" i="3"/>
  <c r="E32" i="3"/>
  <c r="G39" i="3" l="1"/>
  <c r="G43" i="3" s="1"/>
  <c r="F35" i="3"/>
  <c r="F45" i="3"/>
  <c r="F21" i="6" s="1"/>
  <c r="F23" i="6" s="1"/>
  <c r="F43" i="3"/>
  <c r="G40" i="3"/>
  <c r="G45" i="3"/>
  <c r="G21" i="6" s="1"/>
  <c r="G23" i="6" s="1"/>
  <c r="E39" i="3"/>
  <c r="F40" i="3" s="1"/>
  <c r="E35" i="3"/>
  <c r="D35" i="3"/>
  <c r="D39" i="3"/>
  <c r="C35" i="3"/>
  <c r="C39" i="3"/>
  <c r="H39" i="3"/>
  <c r="H35" i="3"/>
  <c r="D40" i="3" l="1"/>
  <c r="D43" i="3"/>
  <c r="D45" i="3" s="1"/>
  <c r="D21" i="6" s="1"/>
  <c r="D23" i="6" s="1"/>
  <c r="C43" i="3"/>
  <c r="C45" i="3" s="1"/>
  <c r="C21" i="6" s="1"/>
  <c r="C23" i="6" s="1"/>
  <c r="E40" i="3"/>
  <c r="E43" i="3"/>
  <c r="E45" i="3" s="1"/>
  <c r="E21" i="6" s="1"/>
  <c r="E23" i="6" s="1"/>
  <c r="H40" i="3"/>
  <c r="H43" i="3"/>
  <c r="H45" i="3" s="1"/>
  <c r="H21" i="6" s="1"/>
  <c r="H23" i="6" s="1"/>
  <c r="I40" i="3"/>
</calcChain>
</file>

<file path=xl/sharedStrings.xml><?xml version="1.0" encoding="utf-8"?>
<sst xmlns="http://schemas.openxmlformats.org/spreadsheetml/2006/main" count="305" uniqueCount="151">
  <si>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</si>
  <si>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</si>
  <si>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</si>
  <si>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</si>
  <si>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</si>
  <si>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</si>
  <si>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</si>
  <si>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</si>
  <si>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</si>
  <si>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</si>
  <si>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</si>
  <si>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</si>
  <si>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</si>
  <si>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</si>
  <si>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</si>
  <si>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</si>
  <si>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</si>
  <si>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</si>
  <si>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</si>
  <si>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</si>
  <si>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</si>
  <si>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</si>
  <si>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</si>
  <si>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</si>
  <si>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</si>
  <si>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</si>
  <si>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</si>
  <si>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</si>
  <si>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</si>
  <si>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</si>
  <si>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</si>
  <si>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</si>
  <si>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</si>
  <si>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</si>
  <si>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</si>
  <si>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</si>
  <si>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</si>
  <si>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</si>
  <si>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</si>
  <si>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</si>
  <si>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</si>
  <si>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</si>
  <si>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</si>
  <si>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</si>
  <si>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</si>
  <si>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</si>
  <si>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</si>
  <si>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</si>
  <si>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</si>
  <si>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</si>
  <si>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</si>
  <si>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</si>
  <si>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</si>
  <si>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</si>
  <si>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</si>
  <si>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</si>
  <si>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</si>
  <si>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</si>
  <si>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</si>
  <si>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</si>
  <si>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</si>
  <si>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</si>
  <si>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</si>
  <si>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</si>
  <si>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</si>
  <si>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</si>
  <si>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</si>
  <si>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</si>
  <si>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</si>
  <si>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</si>
  <si>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</si>
  <si>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</si>
  <si>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</si>
  <si>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</si>
  <si>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</si>
  <si>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</si>
  <si>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</si>
  <si>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</si>
  <si>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</si>
  <si>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</si>
  <si>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</si>
  <si>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</si>
  <si>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</si>
  <si>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</si>
  <si>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</si>
  <si>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</si>
  <si>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Gross Margin</t>
  </si>
  <si>
    <t>EBITDA Margin</t>
  </si>
  <si>
    <t>OperatingIncome%Sales</t>
  </si>
  <si>
    <t>SalesExpenses%Sales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</si>
  <si>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</si>
  <si>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</si>
  <si>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</si>
  <si>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</si>
  <si>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</si>
  <si>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</si>
  <si>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</si>
  <si>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</si>
  <si>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</si>
  <si>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</si>
  <si>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</si>
  <si>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</si>
  <si>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</si>
  <si>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Creditor Turnover Ratio</t>
  </si>
  <si>
    <t>Capital Turnover Ratio</t>
  </si>
  <si>
    <t>Return on Equity%</t>
  </si>
  <si>
    <t>Return on Capital Employed</t>
  </si>
  <si>
    <t>NESTLE INDIA LTD</t>
  </si>
  <si>
    <t># Income Statement</t>
  </si>
  <si>
    <t xml:space="preserve">Operating Activites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</si>
  <si>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</si>
  <si>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</si>
  <si>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</si>
  <si>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</si>
  <si>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</si>
  <si>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</si>
  <si>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 xml:space="preserve">Cash from Operating Activity </t>
  </si>
  <si>
    <t>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</si>
  <si>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</si>
  <si>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</si>
  <si>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</si>
  <si>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</si>
  <si>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</si>
  <si>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</si>
  <si>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</si>
  <si>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</si>
  <si>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 xml:space="preserve">Cash from Inveting Activity </t>
  </si>
  <si>
    <t>Figures in Rs. Crores </t>
  </si>
  <si>
    <r>
      <t>Cash from Operating Activity </t>
    </r>
    <r>
      <rPr>
        <sz val="11"/>
        <color rgb="FF665EFD"/>
        <rFont val="Arial"/>
        <family val="2"/>
      </rPr>
      <t>-</t>
    </r>
  </si>
  <si>
    <t>Other operating items</t>
  </si>
  <si>
    <t>Exceptional CF items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</si>
  <si>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</si>
  <si>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</si>
  <si>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</si>
  <si>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</si>
  <si>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</si>
  <si>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</si>
  <si>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</si>
  <si>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</si>
  <si>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</si>
  <si>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</si>
  <si>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</si>
  <si>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r>
      <t>Cash from Operating Activity </t>
    </r>
    <r>
      <rPr>
        <sz val="11"/>
        <color rgb="FF665EFD"/>
        <rFont val="Arial"/>
        <family val="2"/>
      </rPr>
      <t>-</t>
    </r>
  </si>
  <si>
    <t>Operating borrowings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</si>
  <si>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</si>
  <si>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</si>
  <si>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Investment subsidy</t>
  </si>
  <si>
    <t xml:space="preserve">Financial Activity </t>
  </si>
  <si>
    <t>Cash From Financial Activity</t>
  </si>
  <si>
    <t>Net Cash flow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</si>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</sst>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&quot;₹&quot;\ #,##0.00;&quot;₹&quot;\ \(#,##0.00\);\-"/>
    <numFmt numFmtId="169" formatCode="&quot;₹&quot;\ #,##0.0;&quot;₹&quot;\ \(#,##0.0\);\-"/>
    <numFmt numFmtId="170" formatCode="0.00\x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2"/>
      <color rgb="FF606F7B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26"/>
      <color theme="1"/>
      <name val="Bodoni MT Black"/>
      <family val="1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4">
    <border>
      <left/>
      <right/>
      <top/>
      <bottom/>
      <diagonal/>
    </border>
    <border>
      <left style="dashDotDot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 style="dashDot">
        <color auto="1"/>
      </right>
      <top/>
      <bottom/>
      <diagonal/>
    </border>
    <border>
      <left/>
      <right style="dashDot">
        <color auto="1"/>
      </right>
      <top style="thin">
        <color auto="1"/>
      </top>
      <bottom/>
      <diagonal/>
    </border>
    <border>
      <left style="dashDotDot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 style="dashDotDot">
        <color auto="1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111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2" fillId="4" borderId="0" xfId="0" applyFont="1" applyFill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2" fillId="6" borderId="0" xfId="0" applyFont="1" applyFill="1" applyAlignment="1">
      <alignment horizontal="left"/>
    </xf>
    <xf numFmtId="17" fontId="2" fillId="6" borderId="0" xfId="0" applyNumberFormat="1" applyFont="1" applyFill="1" applyAlignment="1">
      <alignment horizontal="center"/>
    </xf>
    <xf numFmtId="0" fontId="0" fillId="6" borderId="1" xfId="0" applyFill="1" applyBorder="1"/>
    <xf numFmtId="0" fontId="0" fillId="0" borderId="1" xfId="0" applyBorder="1"/>
    <xf numFmtId="167" fontId="3" fillId="0" borderId="0" xfId="0" applyNumberFormat="1" applyFont="1"/>
    <xf numFmtId="168" fontId="0" fillId="0" borderId="0" xfId="0" applyNumberFormat="1"/>
    <xf numFmtId="0" fontId="3" fillId="0" borderId="2" xfId="0" applyFont="1" applyBorder="1"/>
    <xf numFmtId="168" fontId="3" fillId="0" borderId="2" xfId="0" applyNumberFormat="1" applyFont="1" applyBorder="1"/>
    <xf numFmtId="167" fontId="3" fillId="6" borderId="0" xfId="0" applyNumberFormat="1" applyFont="1" applyFill="1"/>
    <xf numFmtId="168" fontId="3" fillId="0" borderId="0" xfId="0" applyNumberFormat="1" applyFont="1"/>
    <xf numFmtId="0" fontId="15" fillId="0" borderId="0" xfId="0" applyFont="1"/>
    <xf numFmtId="0" fontId="0" fillId="7" borderId="0" xfId="0" applyFill="1"/>
    <xf numFmtId="17" fontId="16" fillId="7" borderId="4" xfId="0" applyNumberFormat="1" applyFont="1" applyFill="1" applyBorder="1" applyAlignment="1">
      <alignment horizontal="right" vertical="center" wrapText="1" indent="1"/>
    </xf>
    <xf numFmtId="0" fontId="17" fillId="8" borderId="5" xfId="0" applyFont="1" applyFill="1" applyBorder="1" applyAlignment="1">
      <alignment horizontal="left" vertical="center" indent="2"/>
    </xf>
    <xf numFmtId="3" fontId="17" fillId="8" borderId="5" xfId="0" applyNumberFormat="1" applyFont="1" applyFill="1" applyBorder="1" applyAlignment="1">
      <alignment horizontal="right" vertical="center" wrapText="1" indent="1"/>
    </xf>
    <xf numFmtId="0" fontId="17" fillId="8" borderId="5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right" vertical="center" wrapText="1" indent="1"/>
    </xf>
    <xf numFmtId="3" fontId="19" fillId="8" borderId="0" xfId="0" applyNumberFormat="1" applyFont="1" applyFill="1" applyAlignment="1">
      <alignment horizontal="right" vertical="center" wrapText="1" indent="1"/>
    </xf>
    <xf numFmtId="0" fontId="17" fillId="8" borderId="5" xfId="0" applyFont="1" applyFill="1" applyBorder="1" applyAlignment="1">
      <alignment horizontal="right" vertical="center" wrapText="1" indent="1"/>
    </xf>
    <xf numFmtId="0" fontId="17" fillId="7" borderId="5" xfId="0" applyFont="1" applyFill="1" applyBorder="1" applyAlignment="1">
      <alignment horizontal="left" vertical="center" indent="2"/>
    </xf>
    <xf numFmtId="0" fontId="17" fillId="7" borderId="5" xfId="0" applyFont="1" applyFill="1" applyBorder="1" applyAlignment="1">
      <alignment horizontal="right" vertical="center" wrapText="1" indent="1"/>
    </xf>
    <xf numFmtId="3" fontId="17" fillId="7" borderId="5" xfId="0" applyNumberFormat="1" applyFont="1" applyFill="1" applyBorder="1" applyAlignment="1">
      <alignment horizontal="right" vertical="center" wrapText="1" indent="1"/>
    </xf>
    <xf numFmtId="0" fontId="19" fillId="7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right" vertical="center" wrapText="1" indent="1"/>
    </xf>
    <xf numFmtId="3" fontId="19" fillId="7" borderId="0" xfId="0" applyNumberFormat="1" applyFont="1" applyFill="1" applyAlignment="1">
      <alignment horizontal="right" vertical="center" wrapText="1" indent="1"/>
    </xf>
    <xf numFmtId="0" fontId="20" fillId="8" borderId="0" xfId="0" applyFont="1" applyFill="1" applyAlignment="1">
      <alignment horizontal="left" vertical="center" indent="2"/>
    </xf>
    <xf numFmtId="3" fontId="20" fillId="8" borderId="0" xfId="0" applyNumberFormat="1" applyFont="1" applyFill="1" applyAlignment="1">
      <alignment horizontal="right" vertical="center" wrapText="1" indent="1"/>
    </xf>
    <xf numFmtId="0" fontId="20" fillId="7" borderId="0" xfId="0" applyFont="1" applyFill="1" applyAlignment="1">
      <alignment horizontal="left" vertical="center" indent="2"/>
    </xf>
    <xf numFmtId="9" fontId="20" fillId="7" borderId="0" xfId="0" applyNumberFormat="1" applyFont="1" applyFill="1" applyAlignment="1">
      <alignment horizontal="right" vertical="center" wrapText="1" indent="1"/>
    </xf>
    <xf numFmtId="0" fontId="20" fillId="7" borderId="4" xfId="0" applyFont="1" applyFill="1" applyBorder="1" applyAlignment="1">
      <alignment horizontal="left" vertical="center" indent="2"/>
    </xf>
    <xf numFmtId="17" fontId="20" fillId="7" borderId="4" xfId="0" applyNumberFormat="1" applyFont="1" applyFill="1" applyBorder="1" applyAlignment="1">
      <alignment horizontal="right" vertical="center" wrapText="1" indent="1"/>
    </xf>
    <xf numFmtId="0" fontId="21" fillId="8" borderId="5" xfId="0" applyFont="1" applyFill="1" applyBorder="1" applyAlignment="1">
      <alignment horizontal="left" vertical="center" indent="2"/>
    </xf>
    <xf numFmtId="3" fontId="21" fillId="8" borderId="5" xfId="0" applyNumberFormat="1" applyFont="1" applyFill="1" applyBorder="1" applyAlignment="1">
      <alignment horizontal="right" vertical="center" wrapText="1" indent="1"/>
    </xf>
    <xf numFmtId="0" fontId="21" fillId="8" borderId="5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right" vertical="center" wrapText="1" indent="1"/>
    </xf>
    <xf numFmtId="0" fontId="21" fillId="8" borderId="5" xfId="0" applyFont="1" applyFill="1" applyBorder="1" applyAlignment="1">
      <alignment horizontal="right" vertical="center" wrapText="1" indent="1"/>
    </xf>
    <xf numFmtId="3" fontId="21" fillId="8" borderId="0" xfId="0" applyNumberFormat="1" applyFont="1" applyFill="1" applyAlignment="1">
      <alignment horizontal="right" vertical="center" wrapText="1" indent="1"/>
    </xf>
    <xf numFmtId="0" fontId="21" fillId="7" borderId="5" xfId="0" applyFont="1" applyFill="1" applyBorder="1" applyAlignment="1">
      <alignment horizontal="left" vertical="center" indent="2"/>
    </xf>
    <xf numFmtId="3" fontId="21" fillId="7" borderId="5" xfId="0" applyNumberFormat="1" applyFont="1" applyFill="1" applyBorder="1" applyAlignment="1">
      <alignment horizontal="right" vertical="center" wrapText="1" indent="1"/>
    </xf>
    <xf numFmtId="0" fontId="21" fillId="7" borderId="5" xfId="0" applyFont="1" applyFill="1" applyBorder="1" applyAlignment="1">
      <alignment horizontal="right" vertical="center" wrapText="1" indent="1"/>
    </xf>
    <xf numFmtId="0" fontId="21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right" vertical="center" wrapText="1" indent="1"/>
    </xf>
    <xf numFmtId="3" fontId="21" fillId="7" borderId="0" xfId="0" applyNumberFormat="1" applyFont="1" applyFill="1" applyAlignment="1">
      <alignment horizontal="right" vertical="center" wrapText="1" indent="1"/>
    </xf>
    <xf numFmtId="0" fontId="20" fillId="8" borderId="0" xfId="0" applyFont="1" applyFill="1" applyAlignment="1">
      <alignment horizontal="right" vertical="center" wrapText="1" indent="1"/>
    </xf>
    <xf numFmtId="168" fontId="0" fillId="0" borderId="3" xfId="0" applyNumberFormat="1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166" fontId="0" fillId="6" borderId="0" xfId="0" applyNumberFormat="1" applyFill="1"/>
    <xf numFmtId="166" fontId="3" fillId="6" borderId="0" xfId="0" applyNumberFormat="1" applyFont="1" applyFill="1"/>
    <xf numFmtId="0" fontId="3" fillId="6" borderId="0" xfId="0" applyFont="1" applyFill="1"/>
    <xf numFmtId="0" fontId="13" fillId="6" borderId="0" xfId="0" applyFont="1" applyFill="1"/>
    <xf numFmtId="169" fontId="3" fillId="0" borderId="0" xfId="0" applyNumberFormat="1" applyFont="1"/>
    <xf numFmtId="10" fontId="13" fillId="0" borderId="0" xfId="1" applyNumberFormat="1" applyFont="1" applyBorder="1"/>
    <xf numFmtId="0" fontId="3" fillId="0" borderId="9" xfId="0" applyFont="1" applyBorder="1"/>
    <xf numFmtId="167" fontId="3" fillId="0" borderId="9" xfId="0" applyNumberFormat="1" applyFont="1" applyBorder="1"/>
    <xf numFmtId="0" fontId="0" fillId="0" borderId="10" xfId="0" applyBorder="1"/>
    <xf numFmtId="0" fontId="3" fillId="0" borderId="11" xfId="0" applyFont="1" applyBorder="1"/>
    <xf numFmtId="10" fontId="13" fillId="0" borderId="12" xfId="1" applyNumberFormat="1" applyFont="1" applyBorder="1"/>
    <xf numFmtId="0" fontId="2" fillId="6" borderId="13" xfId="0" applyFont="1" applyFill="1" applyBorder="1" applyAlignment="1">
      <alignment horizontal="left"/>
    </xf>
    <xf numFmtId="17" fontId="2" fillId="6" borderId="13" xfId="0" applyNumberFormat="1" applyFont="1" applyFill="1" applyBorder="1" applyAlignment="1">
      <alignment horizontal="center"/>
    </xf>
    <xf numFmtId="17" fontId="2" fillId="6" borderId="13" xfId="0" applyNumberFormat="1" applyFont="1" applyFill="1" applyBorder="1" applyAlignment="1">
      <alignment horizontal="right"/>
    </xf>
    <xf numFmtId="0" fontId="0" fillId="6" borderId="13" xfId="0" applyFill="1" applyBorder="1"/>
    <xf numFmtId="169" fontId="3" fillId="6" borderId="13" xfId="0" applyNumberFormat="1" applyFont="1" applyFill="1" applyBorder="1"/>
    <xf numFmtId="10" fontId="13" fillId="6" borderId="13" xfId="1" applyNumberFormat="1" applyFont="1" applyFill="1" applyBorder="1"/>
    <xf numFmtId="167" fontId="3" fillId="6" borderId="13" xfId="0" applyNumberFormat="1" applyFont="1" applyFill="1" applyBorder="1"/>
    <xf numFmtId="166" fontId="3" fillId="0" borderId="9" xfId="0" applyNumberFormat="1" applyFont="1" applyBorder="1"/>
    <xf numFmtId="43" fontId="6" fillId="0" borderId="9" xfId="2" applyFont="1" applyBorder="1"/>
    <xf numFmtId="43" fontId="6" fillId="0" borderId="9" xfId="2" applyFont="1" applyFill="1" applyBorder="1"/>
    <xf numFmtId="0" fontId="2" fillId="6" borderId="0" xfId="0" applyFont="1" applyFill="1" applyAlignment="1">
      <alignment horizontal="center"/>
    </xf>
    <xf numFmtId="10" fontId="0" fillId="0" borderId="0" xfId="0" applyNumberFormat="1"/>
    <xf numFmtId="0" fontId="0" fillId="0" borderId="13" xfId="0" applyBorder="1"/>
    <xf numFmtId="170" fontId="0" fillId="0" borderId="0" xfId="0" applyNumberFormat="1"/>
    <xf numFmtId="10" fontId="0" fillId="0" borderId="6" xfId="0" applyNumberFormat="1" applyBorder="1"/>
    <xf numFmtId="0" fontId="22" fillId="0" borderId="0" xfId="0" applyFont="1"/>
    <xf numFmtId="10" fontId="14" fillId="0" borderId="6" xfId="1" applyNumberFormat="1" applyFont="1" applyBorder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2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chart </a:t>
            </a:r>
          </a:p>
        </c:rich>
      </c:tx>
      <c:layout>
        <c:manualLayout>
          <c:xMode val="edge"/>
          <c:yMode val="edge"/>
          <c:x val="0.3928263342082240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Nestle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Statement'!$C$4:$H$4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'Income Statement'!$L$7:$Q$7</c:f>
              <c:numCache>
                <c:formatCode>"₹"\ #,##0.00</c:formatCode>
                <c:ptCount val="6"/>
                <c:pt idx="0">
                  <c:v>14740.59</c:v>
                </c:pt>
                <c:pt idx="1">
                  <c:v>16896.96</c:v>
                </c:pt>
                <c:pt idx="2">
                  <c:v>19126.3</c:v>
                </c:pt>
                <c:pt idx="3">
                  <c:v>24393.89</c:v>
                </c:pt>
                <c:pt idx="4">
                  <c:v>20201.560000000001</c:v>
                </c:pt>
                <c:pt idx="5">
                  <c:v>23154.6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F-4A77-A1A6-15D593DA8130}"/>
            </c:ext>
          </c:extLst>
        </c:ser>
        <c:ser>
          <c:idx val="1"/>
          <c:order val="1"/>
          <c:tx>
            <c:v>HUL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'Income Statement'!$C$4:$H$4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'Income Statement'!$C$7:$H$7</c:f>
              <c:numCache>
                <c:formatCode>"₹"\ #,##0.0;"₹"\ \(#,##0.0\);\-</c:formatCode>
                <c:ptCount val="6"/>
                <c:pt idx="0">
                  <c:v>47028</c:v>
                </c:pt>
                <c:pt idx="1">
                  <c:v>52446</c:v>
                </c:pt>
                <c:pt idx="2">
                  <c:v>60580</c:v>
                </c:pt>
                <c:pt idx="3">
                  <c:v>61896</c:v>
                </c:pt>
                <c:pt idx="4">
                  <c:v>61328</c:v>
                </c:pt>
                <c:pt idx="5">
                  <c:v>64468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F-4A77-A1A6-15D593DA8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471424"/>
        <c:axId val="5584721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'Income Statement'!$C$4:$H$4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44286</c:v>
                      </c:pt>
                      <c:pt idx="1">
                        <c:v>44651</c:v>
                      </c:pt>
                      <c:pt idx="2">
                        <c:v>45016</c:v>
                      </c:pt>
                      <c:pt idx="3">
                        <c:v>45382</c:v>
                      </c:pt>
                      <c:pt idx="4">
                        <c:v>45747</c:v>
                      </c:pt>
                      <c:pt idx="5">
                        <c:v>46112</c:v>
                      </c:pt>
                    </c:numCache>
                  </c:num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F7F-4A77-A1A6-15D593DA8130}"/>
                  </c:ext>
                </c:extLst>
              </c15:ser>
            </c15:filteredBarSeries>
          </c:ext>
        </c:extLst>
      </c:barChart>
      <c:catAx>
        <c:axId val="55847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8605453273581989"/>
              <c:y val="0.91025917661025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72144"/>
        <c:crosses val="autoZero"/>
        <c:auto val="0"/>
        <c:lblAlgn val="ctr"/>
        <c:lblOffset val="100"/>
        <c:noMultiLvlLbl val="0"/>
      </c:catAx>
      <c:valAx>
        <c:axId val="5584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Value (cr.)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992268344093359"/>
          <c:y val="0.48739043131708465"/>
          <c:w val="0.12539842030418835"/>
          <c:h val="0.11111185998850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 Chart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03811495189041"/>
          <c:y val="8.5735869061841052E-2"/>
          <c:w val="0.83996188504810965"/>
          <c:h val="0.77468912079769947"/>
        </c:manualLayout>
      </c:layout>
      <c:lineChart>
        <c:grouping val="standard"/>
        <c:varyColors val="0"/>
        <c:ser>
          <c:idx val="0"/>
          <c:order val="0"/>
          <c:tx>
            <c:v>HUL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'Income Statement'!$C$4:$H$4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'Income Statement'!$C$34:$H$34</c:f>
              <c:numCache>
                <c:formatCode>"₹"\ #,##0.00</c:formatCode>
                <c:ptCount val="6"/>
                <c:pt idx="0">
                  <c:v>7829</c:v>
                </c:pt>
                <c:pt idx="1">
                  <c:v>8673</c:v>
                </c:pt>
                <c:pt idx="2">
                  <c:v>9695</c:v>
                </c:pt>
                <c:pt idx="3">
                  <c:v>9465</c:v>
                </c:pt>
                <c:pt idx="4">
                  <c:v>9316</c:v>
                </c:pt>
                <c:pt idx="5">
                  <c:v>10136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7-4310-B46C-83055E3062A7}"/>
            </c:ext>
          </c:extLst>
        </c:ser>
        <c:ser>
          <c:idx val="1"/>
          <c:order val="1"/>
          <c:tx>
            <c:v>Nestle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'Income Statement'!$L$34:$Q$34</c:f>
              <c:numCache>
                <c:formatCode>"₹"\ #,##0.0;\("₹"\ #,##0.0\);\-</c:formatCode>
                <c:ptCount val="6"/>
                <c:pt idx="0">
                  <c:v>2230.7899999999991</c:v>
                </c:pt>
                <c:pt idx="1">
                  <c:v>2283.2599999999984</c:v>
                </c:pt>
                <c:pt idx="2">
                  <c:v>2883.17</c:v>
                </c:pt>
                <c:pt idx="3">
                  <c:v>3773.8500000000004</c:v>
                </c:pt>
                <c:pt idx="4">
                  <c:v>2962.4400000000005</c:v>
                </c:pt>
                <c:pt idx="5">
                  <c:v>3384.369999999999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7-4310-B46C-83055E30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870792"/>
        <c:axId val="398666192"/>
      </c:lineChart>
      <c:catAx>
        <c:axId val="330870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52001425496294496"/>
              <c:y val="0.926604880131610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66192"/>
        <c:crosses val="autoZero"/>
        <c:auto val="0"/>
        <c:lblAlgn val="ctr"/>
        <c:lblOffset val="100"/>
        <c:noMultiLvlLbl val="0"/>
      </c:catAx>
      <c:valAx>
        <c:axId val="3986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profit (cr.)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20399800125368"/>
          <c:y val="0.49590073968026716"/>
          <c:w val="0.1323415647510077"/>
          <c:h val="6.6188951261475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98381452318462"/>
          <c:y val="0.1300462962962963"/>
          <c:w val="0.8533495188101487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HUL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'Ratio Analysis'!$C$3:$H$3</c:f>
              <c:numCache>
                <c:formatCode>mmm\-yy</c:formatCode>
                <c:ptCount val="6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  <c:pt idx="5">
                  <c:v>46112</c:v>
                </c:pt>
              </c:numCache>
            </c:numRef>
          </c:cat>
          <c:val>
            <c:numRef>
              <c:f>'Ratio Analysis'!$C$22:$H$22</c:f>
              <c:numCache>
                <c:formatCode>0.00%</c:formatCode>
                <c:ptCount val="6"/>
                <c:pt idx="0">
                  <c:v>0.16421949070772329</c:v>
                </c:pt>
                <c:pt idx="1">
                  <c:v>0.1767799270296162</c:v>
                </c:pt>
                <c:pt idx="2">
                  <c:v>0.19272821246819338</c:v>
                </c:pt>
                <c:pt idx="3">
                  <c:v>0.18479831309305322</c:v>
                </c:pt>
                <c:pt idx="4">
                  <c:v>0.18857536132140398</c:v>
                </c:pt>
                <c:pt idx="5">
                  <c:v>0.20796487412544368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5-4020-B0FF-879711F71E3C}"/>
            </c:ext>
          </c:extLst>
        </c:ser>
        <c:ser>
          <c:idx val="1"/>
          <c:order val="1"/>
          <c:tx>
            <c:v>Nestle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'Ratio Analysis'!$K$22:$P$22</c:f>
              <c:numCache>
                <c:formatCode>0.00%</c:formatCode>
                <c:ptCount val="6"/>
                <c:pt idx="0">
                  <c:v>1.1461225454433352</c:v>
                </c:pt>
                <c:pt idx="1">
                  <c:v>0.92846773504881663</c:v>
                </c:pt>
                <c:pt idx="2">
                  <c:v>1.1724158964203368</c:v>
                </c:pt>
                <c:pt idx="3">
                  <c:v>1.1295942099260976</c:v>
                </c:pt>
                <c:pt idx="4">
                  <c:v>0.71953657262912474</c:v>
                </c:pt>
                <c:pt idx="5">
                  <c:v>0.6374490510882912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5-4020-B0FF-879711F71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194568"/>
        <c:axId val="515195288"/>
      </c:lineChart>
      <c:catAx>
        <c:axId val="515194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95288"/>
        <c:crosses val="autoZero"/>
        <c:auto val="0"/>
        <c:lblAlgn val="ctr"/>
        <c:lblOffset val="100"/>
        <c:noMultiLvlLbl val="0"/>
      </c:catAx>
      <c:valAx>
        <c:axId val="51519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9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38867016622918"/>
          <c:y val="7.8630796150481856E-4"/>
          <c:w val="0.1482502187226596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economictimes.indiatimes.com/markets/stocks/news/10-large-cap-stocks-deliver-record-quarterly-profits-over-10-quarters/sustained-growth-signals/slideshow/129629712.cms" TargetMode="External"/><Relationship Id="rId1" Type="http://schemas.openxmlformats.org/officeDocument/2006/relationships/image" Target="../media/image1.jpg"/><Relationship Id="rId4" Type="http://schemas.openxmlformats.org/officeDocument/2006/relationships/hyperlink" Target="https://www.flickr.com/photos/nestle/49915939522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66674</xdr:rowOff>
    </xdr:from>
    <xdr:ext cx="3924300" cy="23431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E326-2CC8-A148-7FC7-024108B9655C}"/>
            </a:ext>
          </a:extLst>
        </xdr:cNvPr>
        <xdr:cNvSpPr txBox="1"/>
      </xdr:nvSpPr>
      <xdr:spPr>
        <a:xfrm>
          <a:off x="333375" y="66674"/>
          <a:ext cx="3924300" cy="23431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3200" b="0" i="0" u="none" strike="noStrike">
              <a:solidFill>
                <a:schemeClr val="tx1"/>
              </a:solidFill>
              <a:effectLst/>
              <a:latin typeface="Franklin Gothic Heavy" panose="020B0903020102020204" pitchFamily="34" charset="0"/>
              <a:ea typeface="+mn-ea"/>
              <a:cs typeface="+mn-cs"/>
            </a:rPr>
            <a:t>Financial Comparison of Hindustan Unilever and Nestle India</a:t>
          </a:r>
          <a:r>
            <a:rPr lang="en-IN" sz="3200">
              <a:effectLst/>
              <a:latin typeface="Franklin Gothic Heavy" panose="020B0903020102020204" pitchFamily="34" charset="0"/>
            </a:rPr>
            <a:t> </a:t>
          </a:r>
          <a:endParaRPr lang="en-IN" sz="3200">
            <a:latin typeface="Franklin Gothic Heavy" panose="020B0903020102020204" pitchFamily="34" charset="0"/>
          </a:endParaRPr>
        </a:p>
      </xdr:txBody>
    </xdr:sp>
    <xdr:clientData/>
  </xdr:oneCellAnchor>
  <xdr:twoCellAnchor editAs="oneCell">
    <xdr:from>
      <xdr:col>7</xdr:col>
      <xdr:colOff>0</xdr:colOff>
      <xdr:row>9</xdr:row>
      <xdr:rowOff>76200</xdr:rowOff>
    </xdr:from>
    <xdr:to>
      <xdr:col>10</xdr:col>
      <xdr:colOff>482600</xdr:colOff>
      <xdr:row>18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12A6C6-8299-0243-3E93-7721C575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4267200" y="1838325"/>
          <a:ext cx="2311400" cy="1733550"/>
        </a:xfrm>
        <a:prstGeom prst="rect">
          <a:avLst/>
        </a:prstGeom>
      </xdr:spPr>
    </xdr:pic>
    <xdr:clientData/>
  </xdr:twoCellAnchor>
  <xdr:twoCellAnchor editAs="oneCell">
    <xdr:from>
      <xdr:col>10</xdr:col>
      <xdr:colOff>536894</xdr:colOff>
      <xdr:row>9</xdr:row>
      <xdr:rowOff>95249</xdr:rowOff>
    </xdr:from>
    <xdr:to>
      <xdr:col>15</xdr:col>
      <xdr:colOff>609599</xdr:colOff>
      <xdr:row>18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5ABF9C-09FE-473B-9F24-E71EE63D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632894" y="1857374"/>
          <a:ext cx="3120705" cy="1638301"/>
        </a:xfrm>
        <a:prstGeom prst="rect">
          <a:avLst/>
        </a:prstGeom>
      </xdr:spPr>
    </xdr:pic>
    <xdr:clientData/>
  </xdr:twoCellAnchor>
  <xdr:oneCellAnchor>
    <xdr:from>
      <xdr:col>11</xdr:col>
      <xdr:colOff>371475</xdr:colOff>
      <xdr:row>16</xdr:row>
      <xdr:rowOff>163062</xdr:rowOff>
    </xdr:from>
    <xdr:ext cx="2686050" cy="233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27FE00-8524-1776-840C-9E3383798E03}"/>
            </a:ext>
          </a:extLst>
        </xdr:cNvPr>
        <xdr:cNvSpPr txBox="1"/>
      </xdr:nvSpPr>
      <xdr:spPr>
        <a:xfrm>
          <a:off x="7077075" y="3258687"/>
          <a:ext cx="26860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2</xdr:row>
      <xdr:rowOff>152399</xdr:rowOff>
    </xdr:from>
    <xdr:to>
      <xdr:col>9</xdr:col>
      <xdr:colOff>152400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BA1C9-3EEB-4AFE-BDD7-B60477E5D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171449</xdr:colOff>
      <xdr:row>2</xdr:row>
      <xdr:rowOff>142875</xdr:rowOff>
    </xdr:from>
    <xdr:to>
      <xdr:col>19</xdr:col>
      <xdr:colOff>190500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E8BB3-EBDC-478E-8A5A-9D2C6E92F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390525</xdr:colOff>
      <xdr:row>26</xdr:row>
      <xdr:rowOff>66675</xdr:rowOff>
    </xdr:from>
    <xdr:to>
      <xdr:col>9</xdr:col>
      <xdr:colOff>190500</xdr:colOff>
      <xdr:row>42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DCFD0-7C12-493E-B993-9FB92400C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249977111117893"/>
  </sheetPr>
  <dimension ref="B4:I8"/>
  <sheetViews>
    <sheetView showGridLines="0" tabSelected="1" workbookViewId="0">
      <selection activeCell="M6" sqref="M6"/>
    </sheetView>
  </sheetViews>
  <sheetFormatPr defaultRowHeight="15" x14ac:dyDescent="0.25"/>
  <sheetData>
    <row r="4" spans="2:9" ht="18.75" customHeight="1" x14ac:dyDescent="0.5">
      <c r="B4" s="106"/>
    </row>
    <row r="8" spans="2:9" x14ac:dyDescent="0.25">
      <c r="I8" t="s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sheetPr>
    <tabColor theme="7" tint="0.59999389629810485"/>
  </sheetPr>
  <dimension ref="A1:T77"/>
  <sheetViews>
    <sheetView showGridLines="0" workbookViewId="0">
      <pane ySplit="4" topLeftCell="A5" activePane="bottomLeft" state="frozen"/>
      <selection pane="bottomLeft" activeCell="D1" sqref="D1"/>
    </sheetView>
  </sheetViews>
  <sheetFormatPr defaultRowHeight="15" x14ac:dyDescent="0.25"/>
  <cols>
    <col min="1" max="1" width="1.85546875" customWidth="1"/>
    <col min="2" max="2" width="24.7109375" customWidth="1"/>
    <col min="3" max="9" width="13" style="28" customWidth="1"/>
    <col min="10" max="10" width="1.85546875" style="28" customWidth="1"/>
    <col min="11" max="11" width="1.42578125" style="28" customWidth="1"/>
    <col min="12" max="12" width="12.5703125" style="28" customWidth="1"/>
    <col min="13" max="13" width="13" style="28" customWidth="1"/>
    <col min="14" max="14" width="11.5703125" style="28" customWidth="1"/>
    <col min="15" max="15" width="12" customWidth="1"/>
    <col min="16" max="16" width="12.28515625" customWidth="1"/>
    <col min="17" max="17" width="11.7109375" customWidth="1"/>
    <col min="18" max="18" width="12.140625" customWidth="1"/>
  </cols>
  <sheetData>
    <row r="1" spans="1:20" x14ac:dyDescent="0.25">
      <c r="C1"/>
      <c r="D1"/>
      <c r="E1"/>
      <c r="F1"/>
      <c r="G1"/>
      <c r="H1"/>
      <c r="I1"/>
      <c r="L1"/>
      <c r="M1"/>
      <c r="N1"/>
    </row>
    <row r="2" spans="1:20" ht="15.75" x14ac:dyDescent="0.25">
      <c r="C2"/>
      <c r="D2"/>
      <c r="E2"/>
      <c r="F2"/>
      <c r="G2"/>
      <c r="H2" s="39" t="s">
        <v>127</v>
      </c>
      <c r="I2"/>
      <c r="L2"/>
      <c r="M2"/>
      <c r="N2"/>
      <c r="Q2" s="39" t="s">
        <v>127</v>
      </c>
    </row>
    <row r="3" spans="1:20" x14ac:dyDescent="0.25">
      <c r="B3" s="25"/>
      <c r="C3" s="25"/>
      <c r="D3" s="25" t="str">
        <f>"Historical Financial Statement - "&amp;'Data Sheet1'!B1</f>
        <v>Historical Financial Statement - HINDUSTAN UNILEVER LTD</v>
      </c>
      <c r="E3" s="25"/>
      <c r="F3" s="25"/>
      <c r="G3" s="25"/>
      <c r="H3" s="25"/>
      <c r="I3" s="25"/>
      <c r="J3" s="91"/>
      <c r="K3" s="27"/>
      <c r="L3" s="25"/>
      <c r="M3" s="25"/>
      <c r="N3" s="25" t="str">
        <f>"Historical Financial Statement - "&amp;'Data Sheet2'!B1</f>
        <v>Historical Financial Statement - NESTLE INDIA LTD</v>
      </c>
      <c r="O3" s="25"/>
      <c r="P3" s="25"/>
      <c r="Q3" s="25"/>
      <c r="R3" s="25"/>
    </row>
    <row r="4" spans="1:20" x14ac:dyDescent="0.25">
      <c r="B4" s="24" t="s">
        <v>56</v>
      </c>
      <c r="C4" s="26">
        <f>'Data Sheet1'!F16</f>
        <v>44286</v>
      </c>
      <c r="D4" s="26">
        <f>'Data Sheet1'!G16</f>
        <v>44651</v>
      </c>
      <c r="E4" s="26">
        <f>'Data Sheet1'!H16</f>
        <v>45016</v>
      </c>
      <c r="F4" s="26">
        <f>'Data Sheet1'!I16</f>
        <v>45382</v>
      </c>
      <c r="G4" s="26">
        <f>'Data Sheet1'!J16</f>
        <v>45747</v>
      </c>
      <c r="H4" s="26">
        <f>'Data Sheet1'!K16</f>
        <v>46112</v>
      </c>
      <c r="I4" s="26" t="s">
        <v>57</v>
      </c>
      <c r="J4" s="92"/>
      <c r="L4" s="26">
        <f t="shared" ref="L4:R4" si="0">C4</f>
        <v>44286</v>
      </c>
      <c r="M4" s="26">
        <f t="shared" si="0"/>
        <v>44651</v>
      </c>
      <c r="N4" s="26">
        <f t="shared" si="0"/>
        <v>45016</v>
      </c>
      <c r="O4" s="26">
        <f t="shared" si="0"/>
        <v>45382</v>
      </c>
      <c r="P4" s="26">
        <f t="shared" si="0"/>
        <v>45747</v>
      </c>
      <c r="Q4" s="26">
        <f t="shared" si="0"/>
        <v>46112</v>
      </c>
      <c r="R4" s="26" t="str">
        <f t="shared" si="0"/>
        <v>LTM</v>
      </c>
    </row>
    <row r="5" spans="1:20" x14ac:dyDescent="0.25">
      <c r="B5" s="18"/>
      <c r="C5" s="19"/>
      <c r="D5" s="19"/>
      <c r="E5" s="19"/>
      <c r="F5" s="19"/>
      <c r="G5" s="19"/>
      <c r="H5" s="19"/>
      <c r="I5" s="20"/>
      <c r="J5" s="93"/>
      <c r="L5"/>
      <c r="M5"/>
      <c r="N5"/>
    </row>
    <row r="6" spans="1:20" x14ac:dyDescent="0.25">
      <c r="A6" t="s">
        <v>59</v>
      </c>
      <c r="B6" s="21" t="s">
        <v>58</v>
      </c>
      <c r="C6" s="22"/>
      <c r="D6" s="22"/>
      <c r="E6" s="22"/>
      <c r="F6" s="22"/>
      <c r="G6" s="22"/>
      <c r="H6" s="22"/>
      <c r="I6" s="22"/>
      <c r="J6" s="94"/>
      <c r="L6" s="21" t="s">
        <v>108</v>
      </c>
      <c r="M6" s="22"/>
      <c r="N6" s="22"/>
      <c r="O6" s="22"/>
      <c r="P6" s="22"/>
      <c r="Q6" s="22"/>
      <c r="R6" s="22"/>
      <c r="S6" s="22"/>
      <c r="T6" s="22"/>
    </row>
    <row r="7" spans="1:20" x14ac:dyDescent="0.25">
      <c r="B7" s="12" t="s">
        <v>12</v>
      </c>
      <c r="C7" s="84">
        <f>IFERROR('Data Sheet1'!F17,0)</f>
        <v>47028</v>
      </c>
      <c r="D7" s="84">
        <f>IFERROR('Data Sheet1'!G17,0)</f>
        <v>52446</v>
      </c>
      <c r="E7" s="84">
        <f>IFERROR('Data Sheet1'!H17,0)</f>
        <v>60580</v>
      </c>
      <c r="F7" s="84">
        <f>IFERROR('Data Sheet1'!I17,0)</f>
        <v>61896</v>
      </c>
      <c r="G7" s="84">
        <f>IFERROR('Data Sheet1'!J17,0)</f>
        <v>61328</v>
      </c>
      <c r="H7" s="84">
        <f>IFERROR('Data Sheet1'!K17,0)</f>
        <v>64468</v>
      </c>
      <c r="I7" s="84">
        <f>IFERROR(SUM('Data Sheet1'!H42:K42),0)</f>
        <v>65225</v>
      </c>
      <c r="J7" s="95"/>
      <c r="L7" s="33">
        <f>IFERROR('Data Sheet2'!F17,0)</f>
        <v>14740.59</v>
      </c>
      <c r="M7" s="33">
        <f>IFERROR('Data Sheet2'!G17,0)</f>
        <v>16896.96</v>
      </c>
      <c r="N7" s="33">
        <f>IFERROR('Data Sheet2'!H17,0)</f>
        <v>19126.3</v>
      </c>
      <c r="O7" s="33">
        <f>IFERROR('Data Sheet2'!I17,0)</f>
        <v>24393.89</v>
      </c>
      <c r="P7" s="33">
        <f>IFERROR('Data Sheet2'!J17,0)</f>
        <v>20201.560000000001</v>
      </c>
      <c r="Q7" s="33">
        <f>IFERROR('Data Sheet2'!K17,0)</f>
        <v>23154.6</v>
      </c>
      <c r="R7" s="33">
        <f>IFERROR(SUM('Data Sheet2'!H42:K42),0)</f>
        <v>23154.600000000002</v>
      </c>
      <c r="S7" s="12"/>
    </row>
    <row r="8" spans="1:20" x14ac:dyDescent="0.25">
      <c r="B8" s="85" t="s">
        <v>60</v>
      </c>
      <c r="C8"/>
      <c r="D8" s="16">
        <f t="shared" ref="D8" si="1">D7/C7-1</f>
        <v>0.11520796121459553</v>
      </c>
      <c r="E8" s="16">
        <f t="shared" ref="E8" si="2">E7/D7-1</f>
        <v>0.15509285741524614</v>
      </c>
      <c r="F8" s="16">
        <f t="shared" ref="F8" si="3">F7/E7-1</f>
        <v>2.1723341036645749E-2</v>
      </c>
      <c r="G8" s="16">
        <f t="shared" ref="G8" si="4">G7/F7-1</f>
        <v>-9.1766834690448773E-3</v>
      </c>
      <c r="H8" s="16">
        <f t="shared" ref="H8" si="5">H7/G7-1</f>
        <v>5.1200104356900589E-2</v>
      </c>
      <c r="I8" s="16">
        <f t="shared" ref="I8" si="6">I7/H7-1</f>
        <v>1.1742259725755488E-2</v>
      </c>
      <c r="J8" s="96"/>
      <c r="L8" s="16"/>
      <c r="M8" s="16">
        <f>M7/L7-1</f>
        <v>0.14628790299438488</v>
      </c>
      <c r="N8" s="16">
        <f t="shared" ref="N8:R8" si="7">N7/M7-1</f>
        <v>0.13193734257523237</v>
      </c>
      <c r="O8" s="16">
        <f t="shared" si="7"/>
        <v>0.27541082174806419</v>
      </c>
      <c r="P8" s="16">
        <f t="shared" si="7"/>
        <v>-0.1718598386727167</v>
      </c>
      <c r="Q8" s="16">
        <f t="shared" si="7"/>
        <v>0.14617880995329058</v>
      </c>
      <c r="R8" s="16">
        <f t="shared" si="7"/>
        <v>0</v>
      </c>
    </row>
    <row r="9" spans="1:20" x14ac:dyDescent="0.25">
      <c r="C9"/>
      <c r="D9"/>
      <c r="E9"/>
      <c r="F9"/>
      <c r="G9"/>
      <c r="H9"/>
      <c r="I9"/>
      <c r="J9" s="94"/>
      <c r="L9"/>
      <c r="M9"/>
      <c r="N9"/>
    </row>
    <row r="10" spans="1:20" x14ac:dyDescent="0.25">
      <c r="B10" s="12" t="s">
        <v>61</v>
      </c>
      <c r="C10" s="84">
        <f>IFERROR(SUM('Data Sheet1'!F18,'Data Sheet1'!F20:F22)-1*'Data Sheet1'!F19,0)</f>
        <v>25301</v>
      </c>
      <c r="D10" s="84">
        <f>IFERROR(SUM('Data Sheet1'!G18,'Data Sheet1'!G20:G22)-1*'Data Sheet1'!G19,0)</f>
        <v>29066</v>
      </c>
      <c r="E10" s="84">
        <f>IFERROR(SUM('Data Sheet1'!H18,'Data Sheet1'!H20:H22)-1*'Data Sheet1'!H19,0)</f>
        <v>35381</v>
      </c>
      <c r="F10" s="84">
        <f>IFERROR(SUM('Data Sheet1'!I18,'Data Sheet1'!I20:I22)-1*'Data Sheet1'!I19,0)</f>
        <v>33651</v>
      </c>
      <c r="G10" s="84">
        <f>IFERROR(SUM('Data Sheet1'!J18,'Data Sheet1'!J20:J22)-1*'Data Sheet1'!J19,0)</f>
        <v>33519</v>
      </c>
      <c r="H10" s="84">
        <f>IFERROR(SUM('Data Sheet1'!K18,'Data Sheet1'!K20:K22)-1*'Data Sheet1'!K19,0)</f>
        <v>35634</v>
      </c>
      <c r="I10" s="84">
        <f>IFERROR(SUM('Data Sheet1'!H43:K43),0)</f>
        <v>50108</v>
      </c>
      <c r="J10" s="95"/>
      <c r="L10" s="23">
        <f>IFERROR(SUM('Data Sheet2'!F18,'Data Sheet2'!F20:F22)-1*'Data Sheet2'!F19,0)</f>
        <v>8521.1500000000015</v>
      </c>
      <c r="M10" s="23">
        <f>IFERROR(SUM('Data Sheet2'!G18,'Data Sheet2'!G20:G22)-1*'Data Sheet2'!G19,0)</f>
        <v>10221.700000000001</v>
      </c>
      <c r="N10" s="23">
        <f>IFERROR(SUM('Data Sheet2'!H18,'Data Sheet2'!H20:H22)-1*'Data Sheet2'!H19,0)</f>
        <v>10281.89</v>
      </c>
      <c r="O10" s="23">
        <f>IFERROR(SUM('Data Sheet2'!I18,'Data Sheet2'!I20:I22)-1*'Data Sheet2'!I19,0)</f>
        <v>14101.72</v>
      </c>
      <c r="P10" s="23">
        <f>IFERROR(SUM('Data Sheet2'!J18,'Data Sheet2'!J20:J22)-1*'Data Sheet2'!J19,0)</f>
        <v>11692.86</v>
      </c>
      <c r="Q10" s="23">
        <f>IFERROR(SUM('Data Sheet2'!K18,'Data Sheet2'!K20:K22)-1*'Data Sheet2'!K19,0)</f>
        <v>13627.64</v>
      </c>
      <c r="R10" s="23">
        <f>IFERROR(SUM('Data Sheet2'!H43:K43),0)</f>
        <v>17845.150000000001</v>
      </c>
    </row>
    <row r="11" spans="1:20" x14ac:dyDescent="0.25">
      <c r="B11" s="85" t="s">
        <v>62</v>
      </c>
      <c r="C11" s="16">
        <f t="shared" ref="C11:I11" si="8">C10/C7</f>
        <v>0.53799863910861612</v>
      </c>
      <c r="D11" s="16">
        <f t="shared" si="8"/>
        <v>0.55420813789421497</v>
      </c>
      <c r="E11" s="16">
        <f t="shared" si="8"/>
        <v>0.58403763618355897</v>
      </c>
      <c r="F11" s="16">
        <f t="shared" si="8"/>
        <v>0.54367002714230317</v>
      </c>
      <c r="G11" s="16">
        <f t="shared" si="8"/>
        <v>0.54655296112705454</v>
      </c>
      <c r="H11" s="16">
        <f t="shared" si="8"/>
        <v>0.55273934355028853</v>
      </c>
      <c r="I11" s="16">
        <f t="shared" si="8"/>
        <v>0.76823303947872745</v>
      </c>
      <c r="J11" s="96"/>
      <c r="L11" s="16">
        <f t="shared" ref="L11:R11" si="9">L10/L7</f>
        <v>0.5780738762831068</v>
      </c>
      <c r="M11" s="16">
        <f t="shared" si="9"/>
        <v>0.60494313770050956</v>
      </c>
      <c r="N11" s="16">
        <f t="shared" si="9"/>
        <v>0.53757862210673257</v>
      </c>
      <c r="O11" s="16">
        <f t="shared" si="9"/>
        <v>0.57808410220756101</v>
      </c>
      <c r="P11" s="16">
        <f t="shared" si="9"/>
        <v>0.57880975528622536</v>
      </c>
      <c r="Q11" s="16">
        <f t="shared" si="9"/>
        <v>0.58855000734195362</v>
      </c>
      <c r="R11" s="16">
        <f t="shared" si="9"/>
        <v>0.77069567170238307</v>
      </c>
    </row>
    <row r="12" spans="1:20" x14ac:dyDescent="0.25">
      <c r="C12"/>
      <c r="D12"/>
      <c r="E12"/>
      <c r="F12"/>
      <c r="G12"/>
      <c r="H12"/>
      <c r="I12"/>
      <c r="J12" s="94"/>
      <c r="L12"/>
      <c r="M12"/>
      <c r="N12"/>
    </row>
    <row r="13" spans="1:20" x14ac:dyDescent="0.25">
      <c r="B13" s="86" t="s">
        <v>63</v>
      </c>
      <c r="C13" s="87">
        <f t="shared" ref="C13:R13" si="10">C7-C10</f>
        <v>21727</v>
      </c>
      <c r="D13" s="87">
        <f t="shared" si="10"/>
        <v>23380</v>
      </c>
      <c r="E13" s="87">
        <f t="shared" si="10"/>
        <v>25199</v>
      </c>
      <c r="F13" s="87">
        <f t="shared" si="10"/>
        <v>28245</v>
      </c>
      <c r="G13" s="87">
        <f t="shared" si="10"/>
        <v>27809</v>
      </c>
      <c r="H13" s="87">
        <f t="shared" si="10"/>
        <v>28834</v>
      </c>
      <c r="I13" s="87">
        <f t="shared" si="10"/>
        <v>15117</v>
      </c>
      <c r="J13" s="97"/>
      <c r="K13" s="82"/>
      <c r="L13" s="98">
        <f t="shared" si="10"/>
        <v>6219.4399999999987</v>
      </c>
      <c r="M13" s="98">
        <f t="shared" si="10"/>
        <v>6675.2599999999984</v>
      </c>
      <c r="N13" s="98">
        <f t="shared" si="10"/>
        <v>8844.41</v>
      </c>
      <c r="O13" s="98">
        <f t="shared" si="10"/>
        <v>10292.17</v>
      </c>
      <c r="P13" s="98">
        <f t="shared" si="10"/>
        <v>8508.7000000000007</v>
      </c>
      <c r="Q13" s="98">
        <f t="shared" si="10"/>
        <v>9526.9599999999991</v>
      </c>
      <c r="R13" s="98">
        <f t="shared" si="10"/>
        <v>5309.4500000000007</v>
      </c>
    </row>
    <row r="14" spans="1:20" x14ac:dyDescent="0.25">
      <c r="B14" s="85" t="s">
        <v>69</v>
      </c>
      <c r="C14" s="16">
        <f>C13/C7</f>
        <v>0.46200136089138388</v>
      </c>
      <c r="D14" s="16">
        <f>D13/D7</f>
        <v>0.44579186210578498</v>
      </c>
      <c r="E14" s="16">
        <f t="shared" ref="E14:I14" si="11">E13/E7</f>
        <v>0.41596236381644108</v>
      </c>
      <c r="F14" s="16">
        <f t="shared" si="11"/>
        <v>0.45632997285769678</v>
      </c>
      <c r="G14" s="16">
        <f t="shared" si="11"/>
        <v>0.45344703887294546</v>
      </c>
      <c r="H14" s="16">
        <f t="shared" si="11"/>
        <v>0.44726065644971147</v>
      </c>
      <c r="I14" s="16">
        <f t="shared" si="11"/>
        <v>0.23176696052127252</v>
      </c>
      <c r="J14" s="96"/>
      <c r="L14" s="16">
        <f>L13/L7</f>
        <v>0.4219261237168932</v>
      </c>
      <c r="M14" s="16">
        <f t="shared" ref="M14:R14" si="12">M13/M7</f>
        <v>0.3950568622994905</v>
      </c>
      <c r="N14" s="16">
        <f t="shared" si="12"/>
        <v>0.46242137789326737</v>
      </c>
      <c r="O14" s="16">
        <f t="shared" si="12"/>
        <v>0.42191589779243904</v>
      </c>
      <c r="P14" s="16">
        <f t="shared" si="12"/>
        <v>0.42119024471377459</v>
      </c>
      <c r="Q14" s="16">
        <f t="shared" si="12"/>
        <v>0.41144999265804633</v>
      </c>
      <c r="R14" s="16">
        <f t="shared" si="12"/>
        <v>0.22930432829761691</v>
      </c>
    </row>
    <row r="15" spans="1:20" x14ac:dyDescent="0.25">
      <c r="B15" s="12"/>
      <c r="C15"/>
      <c r="D15"/>
      <c r="E15"/>
      <c r="F15"/>
      <c r="G15"/>
      <c r="H15"/>
      <c r="I15"/>
      <c r="J15" s="94"/>
      <c r="L15"/>
      <c r="M15"/>
      <c r="N15"/>
    </row>
    <row r="16" spans="1:20" x14ac:dyDescent="0.25">
      <c r="B16" s="12" t="s">
        <v>64</v>
      </c>
      <c r="C16" s="84">
        <f>IFERROR(SUM('Data Sheet1'!F23:F24),0)</f>
        <v>10101</v>
      </c>
      <c r="D16" s="84">
        <f>IFERROR(SUM('Data Sheet1'!G23:G24),0)</f>
        <v>10523</v>
      </c>
      <c r="E16" s="84">
        <f>IFERROR(SUM('Data Sheet1'!H23:H24),0)</f>
        <v>11052</v>
      </c>
      <c r="F16" s="84">
        <f>IFERROR(SUM('Data Sheet1'!I23:I24),0)</f>
        <v>13586</v>
      </c>
      <c r="G16" s="84">
        <f>IFERROR(SUM('Data Sheet1'!J23:J24),0)</f>
        <v>13111</v>
      </c>
      <c r="H16" s="84">
        <f>IFERROR(SUM('Data Sheet1'!K23:K24),0)</f>
        <v>13795</v>
      </c>
      <c r="I16" s="84"/>
      <c r="J16" s="95"/>
      <c r="L16" s="33">
        <f>IFERROR(SUM('Data Sheet2'!F23:F24),0)</f>
        <v>2657.04</v>
      </c>
      <c r="M16" s="33">
        <f>IFERROR(SUM('Data Sheet2'!G23:G24),0)</f>
        <v>2968.9700000000003</v>
      </c>
      <c r="N16" s="33">
        <f>IFERROR(SUM('Data Sheet2'!H23:H24),0)</f>
        <v>4373.42</v>
      </c>
      <c r="O16" s="33">
        <f>IFERROR(SUM('Data Sheet2'!I23:I24),0)</f>
        <v>4449.05</v>
      </c>
      <c r="P16" s="33">
        <f>IFERROR(SUM('Data Sheet2'!J23:J24),0)</f>
        <v>3737.37</v>
      </c>
      <c r="Q16" s="33">
        <f>IFERROR(SUM('Data Sheet2'!K23:K24),0)</f>
        <v>4220</v>
      </c>
      <c r="R16" s="33"/>
    </row>
    <row r="17" spans="2:19" x14ac:dyDescent="0.25">
      <c r="B17" s="85" t="s">
        <v>65</v>
      </c>
      <c r="C17" s="16">
        <f t="shared" ref="C17:I17" si="13">C16/C7</f>
        <v>0.21478693544271499</v>
      </c>
      <c r="D17" s="16">
        <f t="shared" si="13"/>
        <v>0.20064447240971667</v>
      </c>
      <c r="E17" s="16">
        <f t="shared" si="13"/>
        <v>0.18243644767249917</v>
      </c>
      <c r="F17" s="16">
        <f t="shared" si="13"/>
        <v>0.21949722114514669</v>
      </c>
      <c r="G17" s="16">
        <f t="shared" si="13"/>
        <v>0.21378489433863815</v>
      </c>
      <c r="H17" s="16">
        <f t="shared" si="13"/>
        <v>0.21398213066947944</v>
      </c>
      <c r="I17" s="16">
        <f t="shared" si="13"/>
        <v>0</v>
      </c>
      <c r="J17" s="96"/>
      <c r="L17" s="16">
        <f>L16/L7</f>
        <v>0.18025330058023456</v>
      </c>
      <c r="M17" s="16">
        <f t="shared" ref="M17:R17" si="14">M16/M7</f>
        <v>0.17571030528568454</v>
      </c>
      <c r="N17" s="16">
        <f t="shared" si="14"/>
        <v>0.22866001265273472</v>
      </c>
      <c r="O17" s="16">
        <f t="shared" si="14"/>
        <v>0.18238378544791339</v>
      </c>
      <c r="P17" s="16">
        <f t="shared" si="14"/>
        <v>0.18500402939178953</v>
      </c>
      <c r="Q17" s="16">
        <f t="shared" si="14"/>
        <v>0.18225320238743059</v>
      </c>
      <c r="R17" s="16">
        <f t="shared" si="14"/>
        <v>0</v>
      </c>
    </row>
    <row r="18" spans="2:19" x14ac:dyDescent="0.25">
      <c r="C18"/>
      <c r="D18"/>
      <c r="E18"/>
      <c r="F18"/>
      <c r="G18"/>
      <c r="H18"/>
      <c r="I18"/>
      <c r="J18" s="94"/>
      <c r="L18" s="17"/>
      <c r="M18" s="17"/>
      <c r="N18" s="17"/>
      <c r="O18" s="17"/>
      <c r="P18" s="17"/>
      <c r="Q18" s="17"/>
      <c r="R18" s="17"/>
    </row>
    <row r="19" spans="2:19" x14ac:dyDescent="0.25">
      <c r="B19" s="86" t="s">
        <v>28</v>
      </c>
      <c r="C19" s="87">
        <f>C13-C16</f>
        <v>11626</v>
      </c>
      <c r="D19" s="87">
        <f t="shared" ref="D19:H19" si="15">D13-D16</f>
        <v>12857</v>
      </c>
      <c r="E19" s="87">
        <f t="shared" si="15"/>
        <v>14147</v>
      </c>
      <c r="F19" s="87">
        <f t="shared" si="15"/>
        <v>14659</v>
      </c>
      <c r="G19" s="87">
        <f t="shared" si="15"/>
        <v>14698</v>
      </c>
      <c r="H19" s="87">
        <f t="shared" si="15"/>
        <v>15039</v>
      </c>
      <c r="I19" s="87">
        <f>IFERROR(SUM('Data Sheet1'!H51:K51),0)</f>
        <v>19992</v>
      </c>
      <c r="J19" s="97"/>
      <c r="L19" s="98">
        <f>L13-L16</f>
        <v>3562.3999999999987</v>
      </c>
      <c r="M19" s="98">
        <f t="shared" ref="M19:R19" si="16">M13-M16</f>
        <v>3706.2899999999981</v>
      </c>
      <c r="N19" s="98">
        <f t="shared" si="16"/>
        <v>4470.99</v>
      </c>
      <c r="O19" s="98">
        <f t="shared" si="16"/>
        <v>5843.12</v>
      </c>
      <c r="P19" s="98">
        <f t="shared" si="16"/>
        <v>4771.3300000000008</v>
      </c>
      <c r="Q19" s="98">
        <f t="shared" si="16"/>
        <v>5306.9599999999991</v>
      </c>
      <c r="R19" s="98">
        <f t="shared" si="16"/>
        <v>5309.4500000000007</v>
      </c>
    </row>
    <row r="20" spans="2:19" x14ac:dyDescent="0.25">
      <c r="B20" s="85" t="s">
        <v>66</v>
      </c>
      <c r="C20" s="16">
        <f t="shared" ref="C20:I20" si="17">C19/C7</f>
        <v>0.24721442544866887</v>
      </c>
      <c r="D20" s="16">
        <f t="shared" si="17"/>
        <v>0.24514738969606834</v>
      </c>
      <c r="E20" s="16">
        <f t="shared" si="17"/>
        <v>0.23352591614394189</v>
      </c>
      <c r="F20" s="16">
        <f t="shared" si="17"/>
        <v>0.23683275171255008</v>
      </c>
      <c r="G20" s="16">
        <f t="shared" si="17"/>
        <v>0.23966214453430734</v>
      </c>
      <c r="H20" s="16">
        <f t="shared" si="17"/>
        <v>0.23327852578023206</v>
      </c>
      <c r="I20" s="16">
        <f t="shared" si="17"/>
        <v>0.30650824070525107</v>
      </c>
      <c r="J20" s="96"/>
      <c r="L20" s="16">
        <f>L19/L7</f>
        <v>0.24167282313665861</v>
      </c>
      <c r="M20" s="16">
        <f t="shared" ref="M20:R20" si="18">M19/M7</f>
        <v>0.21934655701380593</v>
      </c>
      <c r="N20" s="16">
        <f t="shared" si="18"/>
        <v>0.23376136524053268</v>
      </c>
      <c r="O20" s="16">
        <f t="shared" si="18"/>
        <v>0.23953211234452562</v>
      </c>
      <c r="P20" s="16">
        <f t="shared" si="18"/>
        <v>0.23618621532198505</v>
      </c>
      <c r="Q20" s="16">
        <f t="shared" si="18"/>
        <v>0.22919679027061576</v>
      </c>
      <c r="R20" s="16">
        <f t="shared" si="18"/>
        <v>0.22930432829761691</v>
      </c>
    </row>
    <row r="21" spans="2:19" x14ac:dyDescent="0.25">
      <c r="C21"/>
      <c r="D21"/>
      <c r="E21"/>
      <c r="F21"/>
      <c r="G21"/>
      <c r="H21"/>
      <c r="I21"/>
      <c r="J21" s="94"/>
      <c r="L21" s="13"/>
      <c r="M21" s="13"/>
      <c r="N21" s="13"/>
      <c r="O21" s="13"/>
      <c r="P21" s="13"/>
      <c r="Q21" s="13"/>
      <c r="R21" s="13"/>
    </row>
    <row r="22" spans="2:19" x14ac:dyDescent="0.25">
      <c r="B22" s="12" t="s">
        <v>22</v>
      </c>
      <c r="C22" s="84">
        <f>IFERROR('Data Sheet1'!F27,0)</f>
        <v>117</v>
      </c>
      <c r="D22" s="84">
        <f>IFERROR('Data Sheet1'!G27,0)</f>
        <v>106</v>
      </c>
      <c r="E22" s="84">
        <f>IFERROR('Data Sheet1'!H27,0)</f>
        <v>114</v>
      </c>
      <c r="F22" s="84">
        <f>IFERROR('Data Sheet1'!I27,0)</f>
        <v>334</v>
      </c>
      <c r="G22" s="84">
        <f>IFERROR('Data Sheet1'!J27,0)</f>
        <v>381</v>
      </c>
      <c r="H22" s="84">
        <f>IFERROR('Data Sheet1'!K27,0)</f>
        <v>410</v>
      </c>
      <c r="I22" s="84">
        <f>IFERROR(SUM('Data Sheet1'!H46:K46),0)</f>
        <v>415</v>
      </c>
      <c r="J22" s="95"/>
      <c r="L22" s="33">
        <f>IFERROR('Data Sheet2'!F27,0)</f>
        <v>201.68</v>
      </c>
      <c r="M22" s="33">
        <f>IFERROR('Data Sheet2'!G27,0)</f>
        <v>154.57</v>
      </c>
      <c r="N22" s="33">
        <f>IFERROR('Data Sheet2'!H27,0)</f>
        <v>119.29</v>
      </c>
      <c r="O22" s="33">
        <f>IFERROR('Data Sheet2'!I27,0)</f>
        <v>145.49</v>
      </c>
      <c r="P22" s="33">
        <f>IFERROR('Data Sheet2'!J27,0)</f>
        <v>136</v>
      </c>
      <c r="Q22" s="33">
        <f>IFERROR('Data Sheet2'!K27,0)</f>
        <v>158.31</v>
      </c>
      <c r="R22" s="33">
        <f>IFERROR(SUM('Data Sheet2'!H46:K46),0)</f>
        <v>158.31</v>
      </c>
      <c r="S22" s="12"/>
    </row>
    <row r="23" spans="2:19" x14ac:dyDescent="0.25">
      <c r="B23" s="15" t="s">
        <v>67</v>
      </c>
      <c r="C23" s="16">
        <f t="shared" ref="C23:I23" si="19">C22/C7</f>
        <v>2.4878795611125285E-3</v>
      </c>
      <c r="D23" s="16">
        <f t="shared" si="19"/>
        <v>2.0211264920108303E-3</v>
      </c>
      <c r="E23" s="16">
        <f t="shared" si="19"/>
        <v>1.881809177946517E-3</v>
      </c>
      <c r="F23" s="16">
        <f t="shared" si="19"/>
        <v>5.3961483779242604E-3</v>
      </c>
      <c r="G23" s="16">
        <f t="shared" si="19"/>
        <v>6.2124967388468566E-3</v>
      </c>
      <c r="H23" s="16">
        <f t="shared" si="19"/>
        <v>6.3597443692994977E-3</v>
      </c>
      <c r="I23" s="16">
        <f t="shared" si="19"/>
        <v>6.362591031046378E-3</v>
      </c>
      <c r="J23" s="96"/>
      <c r="L23" s="16">
        <f>L22/L7</f>
        <v>1.3681948958623773E-2</v>
      </c>
      <c r="M23" s="16">
        <f t="shared" ref="M23:R23" si="20">M22/M7</f>
        <v>9.1477993674601819E-3</v>
      </c>
      <c r="N23" s="16">
        <f t="shared" si="20"/>
        <v>6.2369616705792554E-3</v>
      </c>
      <c r="O23" s="16">
        <f t="shared" si="20"/>
        <v>5.9641984119793937E-3</v>
      </c>
      <c r="P23" s="16">
        <f t="shared" si="20"/>
        <v>6.732153358453505E-3</v>
      </c>
      <c r="Q23" s="16">
        <f t="shared" si="20"/>
        <v>6.8370863672877098E-3</v>
      </c>
      <c r="R23" s="16">
        <f t="shared" si="20"/>
        <v>6.837086367287709E-3</v>
      </c>
    </row>
    <row r="24" spans="2:19" x14ac:dyDescent="0.25">
      <c r="B24" s="12"/>
      <c r="C24"/>
      <c r="D24"/>
      <c r="E24"/>
      <c r="F24"/>
      <c r="G24"/>
      <c r="H24"/>
      <c r="I24"/>
      <c r="J24" s="94"/>
      <c r="L24" s="14"/>
      <c r="M24" s="14"/>
      <c r="N24" s="14"/>
      <c r="O24" s="14"/>
      <c r="P24" s="14"/>
      <c r="Q24" s="14"/>
      <c r="R24" s="14"/>
    </row>
    <row r="25" spans="2:19" x14ac:dyDescent="0.25">
      <c r="B25" s="12" t="s">
        <v>21</v>
      </c>
      <c r="C25" s="84">
        <f>IFERROR('Data Sheet1'!F26,0)</f>
        <v>1074</v>
      </c>
      <c r="D25" s="84">
        <f>IFERROR('Data Sheet1'!G26,0)</f>
        <v>1091</v>
      </c>
      <c r="E25" s="84">
        <f>IFERROR('Data Sheet1'!H26,0)</f>
        <v>1137</v>
      </c>
      <c r="F25" s="84">
        <f>IFERROR('Data Sheet1'!I26,0)</f>
        <v>1216</v>
      </c>
      <c r="G25" s="84">
        <f>IFERROR('Data Sheet1'!J26,0)</f>
        <v>1253</v>
      </c>
      <c r="H25" s="84">
        <f>IFERROR('Data Sheet1'!K26,0)</f>
        <v>1333</v>
      </c>
      <c r="I25" s="84">
        <f>IFERROR(SUM('Data Sheet1'!H45:K45),0)</f>
        <v>1368</v>
      </c>
      <c r="J25" s="95"/>
      <c r="L25" s="33">
        <f>IFERROR('Data Sheet2'!F26,0)</f>
        <v>391.02</v>
      </c>
      <c r="M25" s="33">
        <f>IFERROR('Data Sheet2'!G26,0)</f>
        <v>403.01</v>
      </c>
      <c r="N25" s="33">
        <f>IFERROR('Data Sheet2'!H26,0)</f>
        <v>428.91</v>
      </c>
      <c r="O25" s="33">
        <f>IFERROR('Data Sheet2'!I26,0)</f>
        <v>567.75</v>
      </c>
      <c r="P25" s="33">
        <f>IFERROR('Data Sheet2'!J26,0)</f>
        <v>539.91999999999996</v>
      </c>
      <c r="Q25" s="33">
        <f>IFERROR('Data Sheet2'!K26,0)</f>
        <v>699.23</v>
      </c>
      <c r="R25" s="33">
        <f>IFERROR(SUM('Data Sheet2'!H45:K45),0)</f>
        <v>699.2299999999999</v>
      </c>
    </row>
    <row r="26" spans="2:19" x14ac:dyDescent="0.25">
      <c r="B26" s="85" t="s">
        <v>68</v>
      </c>
      <c r="C26" s="16">
        <f t="shared" ref="C26:I26" si="21">C25/C7</f>
        <v>2.2837458535340648E-2</v>
      </c>
      <c r="D26" s="16">
        <f t="shared" si="21"/>
        <v>2.0802349082866187E-2</v>
      </c>
      <c r="E26" s="16">
        <f t="shared" si="21"/>
        <v>1.8768570485308684E-2</v>
      </c>
      <c r="F26" s="16">
        <f t="shared" si="21"/>
        <v>1.9645857567532635E-2</v>
      </c>
      <c r="G26" s="16">
        <f t="shared" si="21"/>
        <v>2.0431124445603965E-2</v>
      </c>
      <c r="H26" s="16">
        <f t="shared" si="21"/>
        <v>2.0676924986039586E-2</v>
      </c>
      <c r="I26" s="16">
        <f t="shared" si="21"/>
        <v>2.097355308547336E-2</v>
      </c>
      <c r="J26" s="96"/>
      <c r="L26" s="16">
        <f>L25/L7</f>
        <v>2.6526753678109218E-2</v>
      </c>
      <c r="M26" s="16">
        <f t="shared" ref="M26:R26" si="22">M25/M7</f>
        <v>2.3851035925989056E-2</v>
      </c>
      <c r="N26" s="16">
        <f t="shared" si="22"/>
        <v>2.2425142343265557E-2</v>
      </c>
      <c r="O26" s="16">
        <f t="shared" si="22"/>
        <v>2.3274270729268683E-2</v>
      </c>
      <c r="P26" s="16">
        <f t="shared" si="22"/>
        <v>2.6726648833060414E-2</v>
      </c>
      <c r="Q26" s="16">
        <f t="shared" si="22"/>
        <v>3.0198319124493625E-2</v>
      </c>
      <c r="R26" s="16">
        <f t="shared" si="22"/>
        <v>3.0198319124493615E-2</v>
      </c>
    </row>
    <row r="27" spans="2:19" x14ac:dyDescent="0.25">
      <c r="B27" s="88"/>
      <c r="C27"/>
      <c r="D27"/>
      <c r="E27"/>
      <c r="F27"/>
      <c r="G27"/>
      <c r="H27"/>
      <c r="I27"/>
      <c r="J27" s="94"/>
      <c r="L27"/>
      <c r="M27"/>
      <c r="N27"/>
    </row>
    <row r="28" spans="2:19" x14ac:dyDescent="0.25">
      <c r="B28" s="89" t="s">
        <v>70</v>
      </c>
      <c r="C28" s="87">
        <f t="shared" ref="C28:R28" si="23">IFERROR(C19-SUM(C25,C22),0)</f>
        <v>10435</v>
      </c>
      <c r="D28" s="87">
        <f t="shared" si="23"/>
        <v>11660</v>
      </c>
      <c r="E28" s="87">
        <f t="shared" si="23"/>
        <v>12896</v>
      </c>
      <c r="F28" s="87">
        <f t="shared" si="23"/>
        <v>13109</v>
      </c>
      <c r="G28" s="87">
        <f t="shared" si="23"/>
        <v>13064</v>
      </c>
      <c r="H28" s="87">
        <f t="shared" si="23"/>
        <v>13296</v>
      </c>
      <c r="I28" s="87">
        <f t="shared" si="23"/>
        <v>18209</v>
      </c>
      <c r="J28" s="97"/>
      <c r="L28" s="98">
        <f t="shared" si="23"/>
        <v>2969.6999999999989</v>
      </c>
      <c r="M28" s="98">
        <f t="shared" si="23"/>
        <v>3148.7099999999982</v>
      </c>
      <c r="N28" s="98">
        <f t="shared" si="23"/>
        <v>3922.79</v>
      </c>
      <c r="O28" s="98">
        <f t="shared" si="23"/>
        <v>5129.88</v>
      </c>
      <c r="P28" s="98">
        <f t="shared" si="23"/>
        <v>4095.4100000000008</v>
      </c>
      <c r="Q28" s="98">
        <f t="shared" si="23"/>
        <v>4449.4199999999992</v>
      </c>
      <c r="R28" s="98">
        <f t="shared" si="23"/>
        <v>4451.9100000000008</v>
      </c>
    </row>
    <row r="29" spans="2:19" x14ac:dyDescent="0.25">
      <c r="B29" s="90" t="s">
        <v>71</v>
      </c>
      <c r="C29" s="16">
        <f t="shared" ref="C29:I29" si="24">C28/C7</f>
        <v>0.22188908735221571</v>
      </c>
      <c r="D29" s="16">
        <f t="shared" si="24"/>
        <v>0.22232391412119132</v>
      </c>
      <c r="E29" s="16">
        <f t="shared" si="24"/>
        <v>0.21287553648068669</v>
      </c>
      <c r="F29" s="16">
        <f t="shared" si="24"/>
        <v>0.2117907457670932</v>
      </c>
      <c r="G29" s="16">
        <f t="shared" si="24"/>
        <v>0.21301852334985652</v>
      </c>
      <c r="H29" s="16">
        <f t="shared" si="24"/>
        <v>0.20624185642489298</v>
      </c>
      <c r="I29" s="16">
        <f t="shared" si="24"/>
        <v>0.27917209658873132</v>
      </c>
      <c r="J29" s="96"/>
      <c r="L29" s="16">
        <f>L28/L7</f>
        <v>0.20146412049992565</v>
      </c>
      <c r="M29" s="16">
        <f t="shared" ref="M29:R29" si="25">M28/M7</f>
        <v>0.18634772172035671</v>
      </c>
      <c r="N29" s="16">
        <f t="shared" si="25"/>
        <v>0.20509926122668787</v>
      </c>
      <c r="O29" s="16">
        <f t="shared" si="25"/>
        <v>0.21029364320327756</v>
      </c>
      <c r="P29" s="16">
        <f t="shared" si="25"/>
        <v>0.20272741313047113</v>
      </c>
      <c r="Q29" s="16">
        <f t="shared" si="25"/>
        <v>0.19216138477883443</v>
      </c>
      <c r="R29" s="16">
        <f t="shared" si="25"/>
        <v>0.19226892280583557</v>
      </c>
    </row>
    <row r="30" spans="2:19" x14ac:dyDescent="0.25">
      <c r="C30"/>
      <c r="D30"/>
      <c r="E30"/>
      <c r="F30"/>
      <c r="G30"/>
      <c r="H30"/>
      <c r="I30"/>
      <c r="J30" s="94"/>
      <c r="L30"/>
      <c r="M30"/>
      <c r="N30"/>
    </row>
    <row r="31" spans="2:19" x14ac:dyDescent="0.25">
      <c r="B31" s="12" t="s">
        <v>24</v>
      </c>
      <c r="C31" s="84">
        <f>IFERROR('Data Sheet1'!F29,0)</f>
        <v>2606</v>
      </c>
      <c r="D31" s="84">
        <f>IFERROR('Data Sheet1'!G29,0)</f>
        <v>2987</v>
      </c>
      <c r="E31" s="84">
        <f>IFERROR('Data Sheet1'!H29,0)</f>
        <v>3201</v>
      </c>
      <c r="F31" s="84">
        <f>IFERROR('Data Sheet1'!I29,0)</f>
        <v>3644</v>
      </c>
      <c r="G31" s="84">
        <f>IFERROR('Data Sheet1'!J29,0)</f>
        <v>3748</v>
      </c>
      <c r="H31" s="84">
        <f>IFERROR('Data Sheet1'!K29,0)</f>
        <v>3160</v>
      </c>
      <c r="I31" s="84">
        <f>IFERROR(SUM('Data Sheet1'!H48:K48),0)</f>
        <v>3169</v>
      </c>
      <c r="J31" s="95"/>
      <c r="L31" s="23">
        <f>IFERROR('Data Sheet2'!F29,0)</f>
        <v>738.91</v>
      </c>
      <c r="M31" s="23">
        <f>IFERROR('Data Sheet2'!G29,0)</f>
        <v>865.45</v>
      </c>
      <c r="N31" s="23">
        <f>IFERROR('Data Sheet2'!H29,0)</f>
        <v>1039.6199999999999</v>
      </c>
      <c r="O31" s="23">
        <f>IFERROR('Data Sheet2'!I29,0)</f>
        <v>1356.03</v>
      </c>
      <c r="P31" s="23">
        <f>IFERROR('Data Sheet2'!J29,0)</f>
        <v>1132.97</v>
      </c>
      <c r="Q31" s="23">
        <f>IFERROR('Data Sheet2'!K29,0)</f>
        <v>1065.05</v>
      </c>
      <c r="R31" s="23">
        <f>IFERROR(SUM('Data Sheet2'!H48:K48),0)</f>
        <v>1065.05</v>
      </c>
    </row>
    <row r="32" spans="2:19" x14ac:dyDescent="0.25">
      <c r="B32" s="85" t="s">
        <v>27</v>
      </c>
      <c r="C32" s="16">
        <f t="shared" ref="C32:I32" si="26">C31/C28</f>
        <v>0.24973646382367035</v>
      </c>
      <c r="D32" s="16">
        <f t="shared" si="26"/>
        <v>0.25617495711835336</v>
      </c>
      <c r="E32" s="16">
        <f t="shared" si="26"/>
        <v>0.24821650124069478</v>
      </c>
      <c r="F32" s="16">
        <f t="shared" si="26"/>
        <v>0.27797696239224962</v>
      </c>
      <c r="G32" s="16">
        <f t="shared" si="26"/>
        <v>0.28689528475199022</v>
      </c>
      <c r="H32" s="16">
        <f t="shared" si="26"/>
        <v>0.23766546329723226</v>
      </c>
      <c r="I32" s="16">
        <f t="shared" si="26"/>
        <v>0.17403481794716899</v>
      </c>
      <c r="J32" s="96"/>
      <c r="L32" s="16">
        <f>L31/L28</f>
        <v>0.24881637875879725</v>
      </c>
      <c r="M32" s="16">
        <f t="shared" ref="M32:R32" si="27">M31/M28</f>
        <v>0.27485859288407016</v>
      </c>
      <c r="N32" s="16">
        <f t="shared" si="27"/>
        <v>0.26502055934679142</v>
      </c>
      <c r="O32" s="16">
        <f t="shared" si="27"/>
        <v>0.26433951671384126</v>
      </c>
      <c r="P32" s="16">
        <f t="shared" si="27"/>
        <v>0.27664385250805168</v>
      </c>
      <c r="Q32" s="16">
        <f t="shared" si="27"/>
        <v>0.23936827721365933</v>
      </c>
      <c r="R32" s="16">
        <f t="shared" si="27"/>
        <v>0.23923439602327984</v>
      </c>
    </row>
    <row r="33" spans="2:19" x14ac:dyDescent="0.25">
      <c r="C33"/>
      <c r="D33"/>
      <c r="E33"/>
      <c r="F33"/>
      <c r="G33"/>
      <c r="H33"/>
      <c r="I33"/>
      <c r="J33" s="94"/>
      <c r="L33"/>
      <c r="M33"/>
      <c r="N33"/>
    </row>
    <row r="34" spans="2:19" x14ac:dyDescent="0.25">
      <c r="B34" s="86" t="s">
        <v>72</v>
      </c>
      <c r="C34" s="87">
        <f t="shared" ref="C34:R34" si="28">IFERROR(C28-C31,0)</f>
        <v>7829</v>
      </c>
      <c r="D34" s="87">
        <f t="shared" si="28"/>
        <v>8673</v>
      </c>
      <c r="E34" s="87">
        <f t="shared" si="28"/>
        <v>9695</v>
      </c>
      <c r="F34" s="87">
        <f t="shared" si="28"/>
        <v>9465</v>
      </c>
      <c r="G34" s="87">
        <f t="shared" si="28"/>
        <v>9316</v>
      </c>
      <c r="H34" s="87">
        <f t="shared" si="28"/>
        <v>10136</v>
      </c>
      <c r="I34" s="87">
        <f t="shared" si="28"/>
        <v>15040</v>
      </c>
      <c r="J34" s="97"/>
      <c r="L34" s="98">
        <f t="shared" si="28"/>
        <v>2230.7899999999991</v>
      </c>
      <c r="M34" s="98">
        <f t="shared" si="28"/>
        <v>2283.2599999999984</v>
      </c>
      <c r="N34" s="98">
        <f t="shared" si="28"/>
        <v>2883.17</v>
      </c>
      <c r="O34" s="98">
        <f t="shared" si="28"/>
        <v>3773.8500000000004</v>
      </c>
      <c r="P34" s="98">
        <f t="shared" si="28"/>
        <v>2962.4400000000005</v>
      </c>
      <c r="Q34" s="98">
        <f t="shared" si="28"/>
        <v>3384.369999999999</v>
      </c>
      <c r="R34" s="98">
        <f t="shared" si="28"/>
        <v>3386.8600000000006</v>
      </c>
    </row>
    <row r="35" spans="2:19" x14ac:dyDescent="0.25">
      <c r="B35" s="85" t="s">
        <v>73</v>
      </c>
      <c r="C35" s="16">
        <f t="shared" ref="C35:I35" si="29">C34/C7</f>
        <v>0.16647529131581185</v>
      </c>
      <c r="D35" s="16">
        <f t="shared" si="29"/>
        <v>0.16537009495481067</v>
      </c>
      <c r="E35" s="16">
        <f t="shared" si="29"/>
        <v>0.16003631561571477</v>
      </c>
      <c r="F35" s="16">
        <f t="shared" si="29"/>
        <v>0.15291779759596744</v>
      </c>
      <c r="G35" s="16">
        <f t="shared" si="29"/>
        <v>0.15190451343595096</v>
      </c>
      <c r="H35" s="16">
        <f t="shared" si="29"/>
        <v>0.15722529006638952</v>
      </c>
      <c r="I35" s="16">
        <f t="shared" si="29"/>
        <v>0.23058643158298198</v>
      </c>
      <c r="J35" s="96"/>
      <c r="L35" s="16">
        <f>L34/L7</f>
        <v>0.15133654758730819</v>
      </c>
      <c r="M35" s="16">
        <f t="shared" ref="M35:R35" si="30">M34/M7</f>
        <v>0.13512844914114719</v>
      </c>
      <c r="N35" s="16">
        <f t="shared" si="30"/>
        <v>0.15074374029477736</v>
      </c>
      <c r="O35" s="16">
        <f t="shared" si="30"/>
        <v>0.1547047231909302</v>
      </c>
      <c r="P35" s="16">
        <f t="shared" si="30"/>
        <v>0.14664412055306622</v>
      </c>
      <c r="Q35" s="16">
        <f t="shared" si="30"/>
        <v>0.14616404515733372</v>
      </c>
      <c r="R35" s="16">
        <f t="shared" si="30"/>
        <v>0.14627158318433486</v>
      </c>
    </row>
    <row r="36" spans="2:19" x14ac:dyDescent="0.25">
      <c r="C36"/>
      <c r="D36"/>
      <c r="E36"/>
      <c r="F36"/>
      <c r="G36"/>
      <c r="H36"/>
      <c r="I36"/>
      <c r="J36" s="94"/>
      <c r="L36"/>
      <c r="M36"/>
      <c r="N36"/>
    </row>
    <row r="37" spans="2:19" x14ac:dyDescent="0.25">
      <c r="B37" s="12" t="s">
        <v>74</v>
      </c>
      <c r="C37" s="84">
        <f>IFERROR('Data Sheet1'!F93,0)</f>
        <v>234.96</v>
      </c>
      <c r="D37" s="84">
        <f>IFERROR('Data Sheet1'!G93,0)</f>
        <v>234.96</v>
      </c>
      <c r="E37" s="84">
        <f>IFERROR('Data Sheet1'!H93,0)</f>
        <v>234.96</v>
      </c>
      <c r="F37" s="84">
        <f>IFERROR('Data Sheet1'!I93,0)</f>
        <v>234.96</v>
      </c>
      <c r="G37" s="84">
        <f>IFERROR('Data Sheet1'!J93,0)</f>
        <v>234.96</v>
      </c>
      <c r="H37" s="84">
        <f>IFERROR('Data Sheet1'!K93,0)</f>
        <v>234.96</v>
      </c>
      <c r="I37" s="84">
        <f>H37</f>
        <v>234.96</v>
      </c>
      <c r="J37" s="95"/>
      <c r="L37" s="12">
        <f>'Data Sheet2'!F93</f>
        <v>192.8</v>
      </c>
      <c r="M37" s="12">
        <f>'Data Sheet2'!G93</f>
        <v>192.8</v>
      </c>
      <c r="N37" s="12">
        <f>'Data Sheet2'!H93</f>
        <v>192.8</v>
      </c>
      <c r="O37" s="12">
        <f>'Data Sheet2'!I93</f>
        <v>192.83</v>
      </c>
      <c r="P37" s="12">
        <f>'Data Sheet2'!J93</f>
        <v>192.83</v>
      </c>
      <c r="Q37" s="12">
        <f>'Data Sheet2'!K93</f>
        <v>192.83</v>
      </c>
      <c r="R37" s="12">
        <f>Q37</f>
        <v>192.83</v>
      </c>
      <c r="S37" s="12"/>
    </row>
    <row r="38" spans="2:19" x14ac:dyDescent="0.25">
      <c r="C38"/>
      <c r="D38"/>
      <c r="E38"/>
      <c r="F38"/>
      <c r="G38"/>
      <c r="H38"/>
      <c r="I38"/>
      <c r="J38" s="94"/>
      <c r="L38" s="12"/>
      <c r="M38" s="12"/>
      <c r="N38" s="12"/>
      <c r="O38" s="12"/>
      <c r="P38" s="12"/>
      <c r="Q38" s="12"/>
      <c r="R38" s="12"/>
      <c r="S38" s="12"/>
    </row>
    <row r="39" spans="2:19" x14ac:dyDescent="0.25">
      <c r="B39" s="12" t="s">
        <v>76</v>
      </c>
      <c r="C39" s="33">
        <f t="shared" ref="C39:I39" si="31">IFERROR(C34/C37,0)</f>
        <v>33.320565202587673</v>
      </c>
      <c r="D39" s="33">
        <f t="shared" si="31"/>
        <v>36.912665985699689</v>
      </c>
      <c r="E39" s="33">
        <f t="shared" si="31"/>
        <v>41.262342526387471</v>
      </c>
      <c r="F39" s="33">
        <f t="shared" si="31"/>
        <v>40.283452502553622</v>
      </c>
      <c r="G39" s="33">
        <f t="shared" si="31"/>
        <v>39.649302008852572</v>
      </c>
      <c r="H39" s="33">
        <f t="shared" si="31"/>
        <v>43.139257745999316</v>
      </c>
      <c r="I39" s="33">
        <f t="shared" si="31"/>
        <v>64.010895471569626</v>
      </c>
      <c r="J39" s="97"/>
      <c r="L39" s="33">
        <f>IFERROR(L34/L37,0)</f>
        <v>11.570487551867215</v>
      </c>
      <c r="M39" s="33">
        <f t="shared" ref="M39:R39" si="32">IFERROR(M34/M37,0)</f>
        <v>11.842634854771775</v>
      </c>
      <c r="N39" s="33">
        <f t="shared" si="32"/>
        <v>14.954201244813277</v>
      </c>
      <c r="O39" s="33">
        <f t="shared" si="32"/>
        <v>19.570865529222633</v>
      </c>
      <c r="P39" s="33">
        <f t="shared" si="32"/>
        <v>15.362962194679254</v>
      </c>
      <c r="Q39" s="33">
        <f t="shared" si="32"/>
        <v>17.551055333713627</v>
      </c>
      <c r="R39" s="33">
        <f t="shared" si="32"/>
        <v>17.563968262199868</v>
      </c>
      <c r="S39" s="12"/>
    </row>
    <row r="40" spans="2:19" x14ac:dyDescent="0.25">
      <c r="B40" t="s">
        <v>77</v>
      </c>
      <c r="C40" s="16"/>
      <c r="D40" s="16">
        <f t="shared" ref="D40:I40" si="33">IFERROR(D39/C39-1,0)</f>
        <v>0.10780431728190054</v>
      </c>
      <c r="E40" s="16">
        <f t="shared" si="33"/>
        <v>0.11783696529459253</v>
      </c>
      <c r="F40" s="16">
        <f t="shared" si="33"/>
        <v>-2.3723568849922771E-2</v>
      </c>
      <c r="G40" s="16">
        <f t="shared" si="33"/>
        <v>-1.574220813523497E-2</v>
      </c>
      <c r="H40" s="16">
        <f t="shared" si="33"/>
        <v>8.8020609703735486E-2</v>
      </c>
      <c r="I40" s="16">
        <f t="shared" si="33"/>
        <v>0.48382004735595907</v>
      </c>
      <c r="J40" s="96"/>
      <c r="L40"/>
      <c r="M40" s="16">
        <f>IFERROR(M39/L39-1,0)</f>
        <v>2.3520815495855496E-2</v>
      </c>
      <c r="N40" s="16">
        <f t="shared" ref="N40:R40" si="34">IFERROR(N39/M39-1,0)</f>
        <v>0.26274274502246864</v>
      </c>
      <c r="O40" s="16">
        <f t="shared" si="34"/>
        <v>0.30872021907626812</v>
      </c>
      <c r="P40" s="16">
        <f t="shared" si="34"/>
        <v>-0.21500854564966809</v>
      </c>
      <c r="Q40" s="16">
        <f t="shared" si="34"/>
        <v>0.14242651327959321</v>
      </c>
      <c r="R40" s="16">
        <f t="shared" si="34"/>
        <v>7.3573515898139874E-4</v>
      </c>
    </row>
    <row r="41" spans="2:19" x14ac:dyDescent="0.25">
      <c r="C41"/>
      <c r="D41"/>
      <c r="E41"/>
      <c r="F41"/>
      <c r="G41"/>
      <c r="H41"/>
      <c r="I41"/>
      <c r="J41" s="94"/>
      <c r="L41"/>
      <c r="M41"/>
      <c r="N41"/>
    </row>
    <row r="42" spans="2:19" x14ac:dyDescent="0.25">
      <c r="B42" s="12" t="s">
        <v>75</v>
      </c>
      <c r="C42" s="33">
        <f>IFERROR('Data Sheet1'!F31/'Income Statement'!C37,0)</f>
        <v>40.506894790602651</v>
      </c>
      <c r="D42" s="33">
        <f>IFERROR('Data Sheet1'!G31/'Income Statement'!D37,0)</f>
        <v>34.005788219271366</v>
      </c>
      <c r="E42" s="33">
        <f>IFERROR('Data Sheet1'!H31/'Income Statement'!E37,0)</f>
        <v>39.006639427987743</v>
      </c>
      <c r="F42" s="33">
        <f>IFERROR('Data Sheet1'!I31/'Income Statement'!F37,0)</f>
        <v>42.007150153217566</v>
      </c>
      <c r="G42" s="33">
        <f>IFERROR('Data Sheet1'!J31/'Income Statement'!G37,0)</f>
        <v>53.009022812393596</v>
      </c>
      <c r="H42" s="33">
        <f>IFERROR('Data Sheet1'!K31/'Income Statement'!H37,0)</f>
        <v>41.006979911474289</v>
      </c>
      <c r="I42" s="33">
        <f>IFERROR('Data Sheet1'!L31/'Income Statement'!I37,0)</f>
        <v>0</v>
      </c>
      <c r="J42" s="97"/>
      <c r="L42" s="23">
        <f>IFERROR('Data Sheet2'!F31/'Income Statement'!L37,0)</f>
        <v>10.00207468879668</v>
      </c>
      <c r="M42" s="23">
        <f>IFERROR('Data Sheet2'!G31/'Income Statement'!M37,0)</f>
        <v>11.002282157676348</v>
      </c>
      <c r="N42" s="23">
        <f>IFERROR('Data Sheet2'!H31/'Income Statement'!N37,0)</f>
        <v>8.7018153526970945</v>
      </c>
      <c r="O42" s="23">
        <f>IFERROR('Data Sheet2'!I31/'Income Statement'!O37,0)</f>
        <v>16.100814188663588</v>
      </c>
      <c r="P42" s="23">
        <f>IFERROR('Data Sheet2'!J31/'Income Statement'!P37,0)</f>
        <v>13.500700098532386</v>
      </c>
      <c r="Q42" s="23">
        <f>IFERROR('Data Sheet2'!K31/'Income Statement'!Q37,0)</f>
        <v>12</v>
      </c>
      <c r="R42" s="23">
        <f>IFERROR('Data Sheet2'!L31/'Income Statement'!R37,0)</f>
        <v>0</v>
      </c>
    </row>
    <row r="43" spans="2:19" x14ac:dyDescent="0.25">
      <c r="B43" t="s">
        <v>78</v>
      </c>
      <c r="C43" s="16">
        <f t="shared" ref="C43:R43" si="35">IFERROR(C42/C39,0)</f>
        <v>1.2156724996806743</v>
      </c>
      <c r="D43" s="16">
        <f t="shared" si="35"/>
        <v>0.92124985587455333</v>
      </c>
      <c r="E43" s="16">
        <f t="shared" si="35"/>
        <v>0.94533264569365649</v>
      </c>
      <c r="F43" s="16">
        <f t="shared" si="35"/>
        <v>1.0427892234548337</v>
      </c>
      <c r="G43" s="16">
        <f t="shared" si="35"/>
        <v>1.3369471876341776</v>
      </c>
      <c r="H43" s="16">
        <f t="shared" si="35"/>
        <v>0.95057221783741119</v>
      </c>
      <c r="I43" s="16">
        <f t="shared" si="35"/>
        <v>0</v>
      </c>
      <c r="J43" s="107"/>
      <c r="L43" s="16">
        <f t="shared" si="35"/>
        <v>0.86444712411298275</v>
      </c>
      <c r="M43" s="16">
        <f t="shared" si="35"/>
        <v>0.9290400567609477</v>
      </c>
      <c r="N43" s="16">
        <f t="shared" si="35"/>
        <v>0.58189770287565423</v>
      </c>
      <c r="O43" s="16">
        <f t="shared" si="35"/>
        <v>0.82269300581634119</v>
      </c>
      <c r="P43" s="16">
        <f t="shared" si="35"/>
        <v>0.87878235508567248</v>
      </c>
      <c r="Q43" s="16">
        <f t="shared" si="35"/>
        <v>0.68371956966880121</v>
      </c>
      <c r="R43" s="16">
        <f t="shared" si="35"/>
        <v>0</v>
      </c>
      <c r="S43" s="16"/>
    </row>
    <row r="44" spans="2:19" x14ac:dyDescent="0.25">
      <c r="C44" s="16"/>
      <c r="D44" s="16"/>
      <c r="E44" s="16"/>
      <c r="F44" s="16"/>
      <c r="G44" s="16"/>
      <c r="H44" s="16"/>
      <c r="I44" s="16"/>
      <c r="J44" s="107"/>
      <c r="L44"/>
      <c r="M44"/>
      <c r="N44"/>
    </row>
    <row r="45" spans="2:19" x14ac:dyDescent="0.25">
      <c r="B45" s="12" t="s">
        <v>79</v>
      </c>
      <c r="C45" s="16">
        <f t="shared" ref="C45:R45" si="36">IFERROR(IF(C39&gt;C42,1-C43,0),0)</f>
        <v>0</v>
      </c>
      <c r="D45" s="16">
        <f t="shared" si="36"/>
        <v>7.8750144125446675E-2</v>
      </c>
      <c r="E45" s="16">
        <f t="shared" si="36"/>
        <v>5.4667354306343507E-2</v>
      </c>
      <c r="F45" s="16">
        <f t="shared" si="36"/>
        <v>0</v>
      </c>
      <c r="G45" s="16">
        <f t="shared" si="36"/>
        <v>0</v>
      </c>
      <c r="H45" s="16">
        <f t="shared" si="36"/>
        <v>4.9427782162588807E-2</v>
      </c>
      <c r="I45" s="16">
        <f t="shared" si="36"/>
        <v>1</v>
      </c>
      <c r="J45" s="107"/>
      <c r="L45" s="16">
        <f t="shared" si="36"/>
        <v>0.13555287588701725</v>
      </c>
      <c r="M45" s="16">
        <f t="shared" si="36"/>
        <v>7.0959943239052303E-2</v>
      </c>
      <c r="N45" s="16">
        <f t="shared" si="36"/>
        <v>0.41810229712434577</v>
      </c>
      <c r="O45" s="16">
        <f t="shared" si="36"/>
        <v>0.17730699418365881</v>
      </c>
      <c r="P45" s="16">
        <f t="shared" si="36"/>
        <v>0.12121764491432752</v>
      </c>
      <c r="Q45" s="16">
        <f t="shared" si="36"/>
        <v>0.31628043033119879</v>
      </c>
      <c r="R45" s="16">
        <f t="shared" si="36"/>
        <v>1</v>
      </c>
    </row>
    <row r="46" spans="2:19" x14ac:dyDescent="0.25">
      <c r="C46"/>
      <c r="D46"/>
      <c r="E46"/>
      <c r="F46"/>
      <c r="G46"/>
      <c r="H46"/>
      <c r="I46"/>
      <c r="J46" s="94"/>
      <c r="L46"/>
      <c r="M46"/>
      <c r="N46"/>
    </row>
    <row r="47" spans="2:19" x14ac:dyDescent="0.25">
      <c r="B47" s="82"/>
      <c r="J47" s="94"/>
    </row>
    <row r="48" spans="2:19" x14ac:dyDescent="0.25">
      <c r="C48" s="80"/>
      <c r="D48" s="80"/>
      <c r="E48" s="80"/>
      <c r="F48" s="80"/>
      <c r="G48" s="80"/>
      <c r="H48" s="80"/>
    </row>
    <row r="49" spans="2:10" x14ac:dyDescent="0.25">
      <c r="C49" s="80"/>
      <c r="D49" s="80"/>
      <c r="E49" s="80"/>
      <c r="F49" s="80"/>
      <c r="G49" s="80"/>
      <c r="H49" s="80"/>
    </row>
    <row r="50" spans="2:10" x14ac:dyDescent="0.25">
      <c r="C50" s="80"/>
      <c r="D50" s="80"/>
      <c r="E50" s="80"/>
      <c r="F50" s="80"/>
      <c r="G50" s="80"/>
      <c r="H50" s="80"/>
    </row>
    <row r="51" spans="2:10" x14ac:dyDescent="0.25">
      <c r="C51" s="80"/>
      <c r="D51" s="80"/>
      <c r="E51" s="80"/>
      <c r="F51" s="80"/>
      <c r="G51" s="80"/>
      <c r="H51" s="80"/>
    </row>
    <row r="52" spans="2:10" x14ac:dyDescent="0.25">
      <c r="B52" s="12"/>
      <c r="C52" s="81"/>
      <c r="D52" s="81"/>
      <c r="E52" s="81"/>
      <c r="F52" s="81"/>
      <c r="G52" s="81"/>
      <c r="H52" s="81"/>
      <c r="I52" s="82"/>
      <c r="J52" s="82"/>
    </row>
    <row r="54" spans="2:10" x14ac:dyDescent="0.25">
      <c r="C54" s="80"/>
      <c r="D54" s="80"/>
      <c r="E54" s="80"/>
      <c r="F54" s="80"/>
      <c r="G54" s="80"/>
      <c r="H54" s="80"/>
    </row>
    <row r="55" spans="2:10" x14ac:dyDescent="0.25">
      <c r="C55" s="80"/>
      <c r="D55" s="80"/>
      <c r="E55" s="80"/>
      <c r="F55" s="80"/>
      <c r="G55" s="80"/>
      <c r="H55" s="80"/>
    </row>
    <row r="56" spans="2:10" x14ac:dyDescent="0.25">
      <c r="C56" s="80"/>
      <c r="D56" s="80"/>
      <c r="E56" s="80"/>
      <c r="F56" s="80"/>
      <c r="G56" s="80"/>
      <c r="H56" s="80"/>
    </row>
    <row r="57" spans="2:10" x14ac:dyDescent="0.25">
      <c r="C57" s="80"/>
      <c r="D57" s="80"/>
      <c r="E57" s="80"/>
      <c r="F57" s="80"/>
      <c r="G57" s="80"/>
      <c r="H57" s="80"/>
    </row>
    <row r="58" spans="2:10" x14ac:dyDescent="0.25">
      <c r="B58" s="12"/>
      <c r="C58" s="81"/>
      <c r="D58" s="81"/>
      <c r="E58" s="81"/>
      <c r="F58" s="81"/>
      <c r="G58" s="81"/>
      <c r="H58" s="81"/>
    </row>
    <row r="59" spans="2:10" x14ac:dyDescent="0.25">
      <c r="B59" s="12"/>
    </row>
    <row r="60" spans="2:10" x14ac:dyDescent="0.25">
      <c r="C60" s="80"/>
      <c r="D60" s="80"/>
      <c r="E60" s="80"/>
      <c r="F60" s="80"/>
      <c r="G60" s="80"/>
      <c r="H60" s="80"/>
    </row>
    <row r="61" spans="2:10" x14ac:dyDescent="0.25">
      <c r="C61" s="80"/>
      <c r="D61" s="80"/>
      <c r="E61" s="80"/>
      <c r="F61" s="80"/>
      <c r="G61" s="80"/>
      <c r="H61" s="80"/>
    </row>
    <row r="62" spans="2:10" x14ac:dyDescent="0.25">
      <c r="C62" s="80"/>
      <c r="D62" s="80"/>
      <c r="E62" s="80"/>
      <c r="F62" s="80"/>
      <c r="G62" s="80"/>
      <c r="H62" s="80"/>
    </row>
    <row r="63" spans="2:10" x14ac:dyDescent="0.25">
      <c r="B63" s="12"/>
      <c r="C63" s="81"/>
      <c r="D63" s="81"/>
      <c r="E63" s="81"/>
      <c r="F63" s="81"/>
      <c r="G63" s="81"/>
      <c r="H63" s="81"/>
    </row>
    <row r="65" spans="2:8" x14ac:dyDescent="0.25">
      <c r="B65" s="12"/>
      <c r="C65" s="81"/>
      <c r="D65" s="81"/>
      <c r="E65" s="81"/>
      <c r="F65" s="81"/>
      <c r="G65" s="81"/>
      <c r="H65" s="81"/>
    </row>
    <row r="67" spans="2:8" x14ac:dyDescent="0.25">
      <c r="B67" s="15"/>
      <c r="C67" s="83"/>
      <c r="D67" s="83"/>
      <c r="E67" s="83"/>
      <c r="F67" s="83"/>
      <c r="G67" s="83"/>
      <c r="H67" s="83"/>
    </row>
    <row r="69" spans="2:8" x14ac:dyDescent="0.25">
      <c r="B69" s="21"/>
    </row>
    <row r="70" spans="2:8" x14ac:dyDescent="0.25">
      <c r="B70" s="12"/>
    </row>
    <row r="71" spans="2:8" x14ac:dyDescent="0.25">
      <c r="C71" s="80"/>
      <c r="D71" s="80"/>
      <c r="E71" s="80"/>
      <c r="F71" s="80"/>
      <c r="G71" s="80"/>
      <c r="H71" s="80"/>
    </row>
    <row r="73" spans="2:8" x14ac:dyDescent="0.25">
      <c r="C73" s="80"/>
      <c r="D73" s="80"/>
      <c r="E73" s="80"/>
      <c r="F73" s="80"/>
      <c r="G73" s="80"/>
      <c r="H73" s="80"/>
    </row>
    <row r="75" spans="2:8" x14ac:dyDescent="0.25">
      <c r="C75" s="80"/>
      <c r="D75" s="80"/>
      <c r="E75" s="80"/>
      <c r="F75" s="80"/>
      <c r="G75" s="80"/>
      <c r="H75" s="80"/>
    </row>
    <row r="77" spans="2:8" x14ac:dyDescent="0.25">
      <c r="B77" s="12"/>
      <c r="C77" s="81"/>
      <c r="D77" s="81"/>
      <c r="E77" s="81"/>
      <c r="F77" s="81"/>
      <c r="G77" s="81"/>
      <c r="H77" s="81"/>
    </row>
  </sheetData>
  <pageMargins left="0.7" right="0.7" top="0.75" bottom="0.75" header="0.3" footer="0.3"/>
  <pageSetup orientation="portrait" r:id="rId1"/>
  <ignoredErrors>
    <ignoredError sqref="I7 I10 C16:H16 I22 I25 I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E7B5-B881-44A3-AD28-98CBC1FB0E2E}">
  <sheetPr>
    <tabColor theme="7" tint="0.59999389629810485"/>
  </sheetPr>
  <dimension ref="A2:P25"/>
  <sheetViews>
    <sheetView showGridLines="0" workbookViewId="0">
      <selection activeCell="B1" sqref="B1"/>
    </sheetView>
  </sheetViews>
  <sheetFormatPr defaultRowHeight="15" x14ac:dyDescent="0.25"/>
  <cols>
    <col min="1" max="1" width="3" customWidth="1"/>
    <col min="2" max="2" width="24.7109375" bestFit="1" customWidth="1"/>
    <col min="3" max="3" width="12" customWidth="1"/>
    <col min="4" max="4" width="12.28515625" customWidth="1"/>
    <col min="5" max="5" width="12" customWidth="1"/>
    <col min="6" max="7" width="11.7109375" customWidth="1"/>
    <col min="8" max="8" width="12.28515625" customWidth="1"/>
    <col min="9" max="9" width="1.42578125" customWidth="1"/>
    <col min="10" max="10" width="1.42578125" style="28" customWidth="1"/>
    <col min="11" max="11" width="15.28515625" customWidth="1"/>
    <col min="12" max="12" width="11.28515625" customWidth="1"/>
    <col min="13" max="13" width="11.42578125" customWidth="1"/>
    <col min="14" max="14" width="11" customWidth="1"/>
    <col min="15" max="15" width="11.7109375" customWidth="1"/>
    <col min="16" max="16" width="11" customWidth="1"/>
  </cols>
  <sheetData>
    <row r="2" spans="1:16" x14ac:dyDescent="0.25">
      <c r="A2" t="s">
        <v>59</v>
      </c>
      <c r="B2" s="25"/>
      <c r="C2" s="25"/>
      <c r="D2" s="25" t="str">
        <f>"Balance Sheet  - "&amp;'Data Sheet1'!B1</f>
        <v>Balance Sheet  - HINDUSTAN UNILEVER LTD</v>
      </c>
      <c r="E2" s="25"/>
      <c r="F2" s="25"/>
      <c r="G2" s="25"/>
      <c r="H2" s="25"/>
      <c r="I2" s="29"/>
      <c r="J2" s="31"/>
      <c r="K2" s="25"/>
      <c r="L2" s="25" t="str">
        <f>"Balance Sheet  - "&amp;'Data Sheet2'!B1</f>
        <v>Balance Sheet  - NESTLE INDIA LTD</v>
      </c>
      <c r="M2" s="25"/>
      <c r="N2" s="25"/>
      <c r="O2" s="25"/>
      <c r="P2" s="25"/>
    </row>
    <row r="3" spans="1:16" x14ac:dyDescent="0.25">
      <c r="B3" s="24" t="s">
        <v>56</v>
      </c>
      <c r="C3" s="26">
        <f>'Data Sheet1'!F16</f>
        <v>44286</v>
      </c>
      <c r="D3" s="26">
        <f>'Data Sheet1'!G16</f>
        <v>44651</v>
      </c>
      <c r="E3" s="26">
        <f>'Data Sheet1'!H16</f>
        <v>45016</v>
      </c>
      <c r="F3" s="26">
        <f>'Data Sheet1'!I16</f>
        <v>45382</v>
      </c>
      <c r="G3" s="26">
        <f>'Data Sheet1'!J16</f>
        <v>45747</v>
      </c>
      <c r="H3" s="26">
        <f>'Data Sheet1'!K16</f>
        <v>46112</v>
      </c>
      <c r="I3" s="30"/>
      <c r="J3" s="31"/>
      <c r="K3" s="26">
        <f>C3</f>
        <v>44286</v>
      </c>
      <c r="L3" s="26">
        <f t="shared" ref="L3:P3" si="0">D3</f>
        <v>44651</v>
      </c>
      <c r="M3" s="26">
        <f t="shared" si="0"/>
        <v>45016</v>
      </c>
      <c r="N3" s="26">
        <f t="shared" si="0"/>
        <v>45382</v>
      </c>
      <c r="O3" s="26">
        <f t="shared" si="0"/>
        <v>45747</v>
      </c>
      <c r="P3" s="26">
        <f t="shared" si="0"/>
        <v>46112</v>
      </c>
    </row>
    <row r="4" spans="1:16" s="28" customFormat="1" x14ac:dyDescent="0.25">
      <c r="B4" s="101"/>
      <c r="C4" s="30"/>
      <c r="D4" s="30"/>
      <c r="E4" s="30"/>
      <c r="F4" s="30"/>
      <c r="G4" s="30"/>
      <c r="H4" s="30"/>
      <c r="I4" s="30"/>
      <c r="J4" s="31"/>
      <c r="K4" s="30"/>
      <c r="L4" s="30"/>
      <c r="M4" s="30"/>
      <c r="N4" s="30"/>
      <c r="O4" s="30"/>
      <c r="P4" s="30"/>
    </row>
    <row r="5" spans="1:16" x14ac:dyDescent="0.25">
      <c r="B5" s="2" t="s">
        <v>33</v>
      </c>
      <c r="C5" s="17">
        <f>IFERROR('Data Sheet1'!F57,0)</f>
        <v>235</v>
      </c>
      <c r="D5" s="17">
        <f>IFERROR('Data Sheet1'!G57,0)</f>
        <v>235</v>
      </c>
      <c r="E5" s="17">
        <f>IFERROR('Data Sheet1'!H57,0)</f>
        <v>235</v>
      </c>
      <c r="F5" s="17">
        <f>IFERROR('Data Sheet1'!I57,0)</f>
        <v>235</v>
      </c>
      <c r="G5" s="17">
        <f>IFERROR('Data Sheet1'!J57,0)</f>
        <v>235</v>
      </c>
      <c r="H5" s="17">
        <f>IFERROR('Data Sheet1'!K57,0)</f>
        <v>235</v>
      </c>
      <c r="J5" s="31"/>
      <c r="K5" s="2">
        <f>IFERROR('Data Sheet2'!F57,0)</f>
        <v>96.42</v>
      </c>
      <c r="L5" s="17">
        <f>IFERROR('Data Sheet2'!G57,0)</f>
        <v>96.42</v>
      </c>
      <c r="M5" s="17">
        <f>IFERROR('Data Sheet2'!H57,0)</f>
        <v>96.42</v>
      </c>
      <c r="N5" s="17">
        <f>IFERROR('Data Sheet2'!I57,0)</f>
        <v>96.42</v>
      </c>
      <c r="O5" s="17">
        <f>IFERROR('Data Sheet2'!J57,0)</f>
        <v>96.42</v>
      </c>
      <c r="P5" s="17">
        <f>IFERROR('Data Sheet2'!K57,0)</f>
        <v>192.83</v>
      </c>
    </row>
    <row r="6" spans="1:16" x14ac:dyDescent="0.25">
      <c r="B6" s="2" t="s">
        <v>34</v>
      </c>
      <c r="C6" s="17">
        <f>IFERROR('Data Sheet1'!F58,0)</f>
        <v>47439</v>
      </c>
      <c r="D6" s="17">
        <f>IFERROR('Data Sheet1'!G58,0)</f>
        <v>48826</v>
      </c>
      <c r="E6" s="17">
        <f>IFERROR('Data Sheet1'!H58,0)</f>
        <v>50069</v>
      </c>
      <c r="F6" s="17">
        <f>IFERROR('Data Sheet1'!I58,0)</f>
        <v>50983</v>
      </c>
      <c r="G6" s="17">
        <f>IFERROR('Data Sheet1'!J58,0)</f>
        <v>49167</v>
      </c>
      <c r="H6" s="17">
        <f>IFERROR('Data Sheet1'!K58,0)</f>
        <v>48504</v>
      </c>
      <c r="J6" s="31"/>
      <c r="K6" s="2">
        <f>IFERROR('Data Sheet2'!F58,0)</f>
        <v>1849.96</v>
      </c>
      <c r="L6" s="17">
        <f>IFERROR('Data Sheet2'!G58,0)</f>
        <v>2362.75</v>
      </c>
      <c r="M6" s="17">
        <f>IFERROR('Data Sheet2'!H58,0)</f>
        <v>2362.75</v>
      </c>
      <c r="N6" s="17">
        <f>IFERROR('Data Sheet2'!I58,0)</f>
        <v>3244.47</v>
      </c>
      <c r="O6" s="17">
        <f>IFERROR('Data Sheet2'!J58,0)</f>
        <v>4020.73</v>
      </c>
      <c r="P6" s="17">
        <f>IFERROR('Data Sheet2'!K58,0)</f>
        <v>5116.41</v>
      </c>
    </row>
    <row r="7" spans="1:16" x14ac:dyDescent="0.25">
      <c r="B7" s="2" t="s">
        <v>35</v>
      </c>
      <c r="C7" s="17">
        <f>IFERROR('Data Sheet1'!F59,0)</f>
        <v>0</v>
      </c>
      <c r="D7" s="17">
        <f>IFERROR('Data Sheet1'!G59,0)</f>
        <v>1043</v>
      </c>
      <c r="E7" s="17">
        <f>IFERROR('Data Sheet1'!H59,0)</f>
        <v>1219</v>
      </c>
      <c r="F7" s="17">
        <f>IFERROR('Data Sheet1'!I59,0)</f>
        <v>1484</v>
      </c>
      <c r="G7" s="17">
        <f>IFERROR('Data Sheet1'!J59,0)</f>
        <v>1648</v>
      </c>
      <c r="H7" s="17">
        <f>IFERROR('Data Sheet1'!K59,0)</f>
        <v>1478</v>
      </c>
      <c r="J7" s="31"/>
      <c r="K7" s="2">
        <f>IFERROR('Data Sheet2'!F59,0)</f>
        <v>266.45999999999998</v>
      </c>
      <c r="L7" s="17">
        <f>IFERROR('Data Sheet2'!G59,0)</f>
        <v>270.52</v>
      </c>
      <c r="M7" s="17">
        <f>IFERROR('Data Sheet2'!H59,0)</f>
        <v>270.52</v>
      </c>
      <c r="N7" s="17">
        <f>IFERROR('Data Sheet2'!I59,0)</f>
        <v>344.53</v>
      </c>
      <c r="O7" s="17">
        <f>IFERROR('Data Sheet2'!J59,0)</f>
        <v>1166.8499999999999</v>
      </c>
      <c r="P7" s="17">
        <f>IFERROR('Data Sheet2'!K59,0)</f>
        <v>444.16</v>
      </c>
    </row>
    <row r="8" spans="1:16" x14ac:dyDescent="0.25">
      <c r="B8" s="2" t="s">
        <v>36</v>
      </c>
      <c r="C8" s="17">
        <f>IFERROR('Data Sheet1'!F60,0)</f>
        <v>21066</v>
      </c>
      <c r="D8" s="17">
        <f>IFERROR('Data Sheet1'!G60,0)</f>
        <v>20402</v>
      </c>
      <c r="E8" s="17">
        <f>IFERROR('Data Sheet1'!H60,0)</f>
        <v>21554</v>
      </c>
      <c r="F8" s="17">
        <f>IFERROR('Data Sheet1'!I60,0)</f>
        <v>25787</v>
      </c>
      <c r="G8" s="17">
        <f>IFERROR('Data Sheet1'!J60,0)</f>
        <v>28813</v>
      </c>
      <c r="H8" s="17">
        <f>IFERROR('Data Sheet1'!K60,0)</f>
        <v>29521</v>
      </c>
      <c r="J8" s="31"/>
      <c r="K8" s="2">
        <f>IFERROR('Data Sheet2'!F60,0)</f>
        <v>6021.29</v>
      </c>
      <c r="L8" s="17">
        <f>IFERROR('Data Sheet2'!G60,0)</f>
        <v>6249.05</v>
      </c>
      <c r="M8" s="17">
        <f>IFERROR('Data Sheet2'!H60,0)</f>
        <v>6249.05</v>
      </c>
      <c r="N8" s="17">
        <f>IFERROR('Data Sheet2'!I60,0)</f>
        <v>6837.64</v>
      </c>
      <c r="O8" s="17">
        <f>IFERROR('Data Sheet2'!J60,0)</f>
        <v>7039.89</v>
      </c>
      <c r="P8" s="17">
        <f>IFERROR('Data Sheet2'!K60,0)</f>
        <v>7603.77</v>
      </c>
    </row>
    <row r="9" spans="1:16" x14ac:dyDescent="0.25">
      <c r="B9" s="99" t="s">
        <v>80</v>
      </c>
      <c r="C9" s="87">
        <f>SUM(C5:C8,0)</f>
        <v>68740</v>
      </c>
      <c r="D9" s="87">
        <f t="shared" ref="D9:H9" si="1">SUM(D5:D8,0)</f>
        <v>70506</v>
      </c>
      <c r="E9" s="87">
        <f t="shared" si="1"/>
        <v>73077</v>
      </c>
      <c r="F9" s="87">
        <f t="shared" si="1"/>
        <v>78489</v>
      </c>
      <c r="G9" s="87">
        <f t="shared" si="1"/>
        <v>79863</v>
      </c>
      <c r="H9" s="87">
        <f t="shared" si="1"/>
        <v>79738</v>
      </c>
      <c r="J9" s="31"/>
      <c r="K9" s="99">
        <f t="shared" ref="K9" si="2">SUM(K5:K8,0)</f>
        <v>8234.130000000001</v>
      </c>
      <c r="L9" s="87">
        <f t="shared" ref="L9" si="3">SUM(L5:L8,0)</f>
        <v>8978.74</v>
      </c>
      <c r="M9" s="87">
        <f t="shared" ref="M9" si="4">SUM(M5:M8,0)</f>
        <v>8978.74</v>
      </c>
      <c r="N9" s="87">
        <f t="shared" ref="N9" si="5">SUM(N5:N8,0)</f>
        <v>10523.060000000001</v>
      </c>
      <c r="O9" s="87">
        <f t="shared" ref="O9" si="6">SUM(O5:O8,0)</f>
        <v>12323.89</v>
      </c>
      <c r="P9" s="87">
        <f t="shared" ref="P9" si="7">SUM(P5:P8,0)</f>
        <v>13357.17</v>
      </c>
    </row>
    <row r="10" spans="1:16" x14ac:dyDescent="0.25">
      <c r="B10" s="1"/>
      <c r="J10" s="31"/>
      <c r="K10" s="1"/>
    </row>
    <row r="11" spans="1:16" x14ac:dyDescent="0.25">
      <c r="B11" s="2" t="s">
        <v>81</v>
      </c>
      <c r="C11" s="17">
        <f>IFERROR('Data Sheet1'!F62,0)</f>
        <v>51443</v>
      </c>
      <c r="D11" s="17">
        <f>IFERROR('Data Sheet1'!G62,0)</f>
        <v>51473</v>
      </c>
      <c r="E11" s="17">
        <f>IFERROR('Data Sheet1'!H62,0)</f>
        <v>52678</v>
      </c>
      <c r="F11" s="17">
        <f>IFERROR('Data Sheet1'!I62,0)</f>
        <v>53744</v>
      </c>
      <c r="G11" s="17">
        <f>IFERROR('Data Sheet1'!J62,0)</f>
        <v>54335</v>
      </c>
      <c r="H11" s="17">
        <f>IFERROR('Data Sheet1'!K62,0)</f>
        <v>57428</v>
      </c>
      <c r="J11" s="31"/>
      <c r="K11" s="2">
        <f>IFERROR('Data Sheet2'!F62,0)</f>
        <v>2994.67</v>
      </c>
      <c r="L11" s="17">
        <f>IFERROR('Data Sheet2'!G62,0)</f>
        <v>3043.7</v>
      </c>
      <c r="M11" s="17">
        <f>IFERROR('Data Sheet2'!H62,0)</f>
        <v>3043.7</v>
      </c>
      <c r="N11" s="17">
        <f>IFERROR('Data Sheet2'!I62,0)</f>
        <v>3460.25</v>
      </c>
      <c r="O11" s="17">
        <f>IFERROR('Data Sheet2'!J62,0)</f>
        <v>5473.61</v>
      </c>
      <c r="P11" s="17">
        <f>IFERROR('Data Sheet2'!K62,0)</f>
        <v>6290.42</v>
      </c>
    </row>
    <row r="12" spans="1:16" x14ac:dyDescent="0.25">
      <c r="B12" s="2" t="s">
        <v>39</v>
      </c>
      <c r="C12" s="17">
        <f>IFERROR('Data Sheet1'!F63,0)</f>
        <v>745</v>
      </c>
      <c r="D12" s="17">
        <f>IFERROR('Data Sheet1'!G63,0)</f>
        <v>1313</v>
      </c>
      <c r="E12" s="17">
        <f>IFERROR('Data Sheet1'!H63,0)</f>
        <v>1132</v>
      </c>
      <c r="F12" s="17">
        <f>IFERROR('Data Sheet1'!I63,0)</f>
        <v>1025</v>
      </c>
      <c r="G12" s="17">
        <f>IFERROR('Data Sheet1'!J63,0)</f>
        <v>1009</v>
      </c>
      <c r="H12" s="17">
        <f>IFERROR('Data Sheet1'!K63,0)</f>
        <v>880</v>
      </c>
      <c r="J12" s="31"/>
      <c r="K12" s="2">
        <f>IFERROR('Data Sheet2'!F63,0)</f>
        <v>246.23</v>
      </c>
      <c r="L12" s="17">
        <f>IFERROR('Data Sheet2'!G63,0)</f>
        <v>358.36</v>
      </c>
      <c r="M12" s="17">
        <f>IFERROR('Data Sheet2'!H63,0)</f>
        <v>358.36</v>
      </c>
      <c r="N12" s="17">
        <f>IFERROR('Data Sheet2'!I63,0)</f>
        <v>1741.71</v>
      </c>
      <c r="O12" s="17">
        <f>IFERROR('Data Sheet2'!J63,0)</f>
        <v>1172.56</v>
      </c>
      <c r="P12" s="17">
        <f>IFERROR('Data Sheet2'!K63,0)</f>
        <v>506.98</v>
      </c>
    </row>
    <row r="13" spans="1:16" x14ac:dyDescent="0.25">
      <c r="B13" s="2" t="s">
        <v>40</v>
      </c>
      <c r="C13" s="17">
        <f>IFERROR('Data Sheet1'!F64,0)</f>
        <v>2709</v>
      </c>
      <c r="D13" s="17">
        <f>IFERROR('Data Sheet1'!G64,0)</f>
        <v>3521</v>
      </c>
      <c r="E13" s="17">
        <f>IFERROR('Data Sheet1'!H64,0)</f>
        <v>2882</v>
      </c>
      <c r="F13" s="17">
        <f>IFERROR('Data Sheet1'!I64,0)</f>
        <v>4625</v>
      </c>
      <c r="G13" s="17">
        <f>IFERROR('Data Sheet1'!J64,0)</f>
        <v>3810</v>
      </c>
      <c r="H13" s="17">
        <f>IFERROR('Data Sheet1'!K64,0)</f>
        <v>4359</v>
      </c>
      <c r="J13" s="31"/>
      <c r="K13" s="2">
        <f>IFERROR('Data Sheet2'!F64,0)</f>
        <v>773.98</v>
      </c>
      <c r="L13" s="17">
        <f>IFERROR('Data Sheet2'!G64,0)</f>
        <v>777.54</v>
      </c>
      <c r="M13" s="17">
        <f>IFERROR('Data Sheet2'!H64,0)</f>
        <v>777.54</v>
      </c>
      <c r="N13" s="17">
        <f>IFERROR('Data Sheet2'!I64,0)</f>
        <v>463.87</v>
      </c>
      <c r="O13" s="17">
        <f>IFERROR('Data Sheet2'!J64,0)</f>
        <v>705.6</v>
      </c>
      <c r="P13" s="17">
        <f>IFERROR('Data Sheet2'!K64,0)</f>
        <v>705.6</v>
      </c>
    </row>
    <row r="14" spans="1:16" x14ac:dyDescent="0.25">
      <c r="B14" s="2" t="s">
        <v>41</v>
      </c>
      <c r="C14" s="17">
        <f>IFERROR('Data Sheet1'!F65-SUM('Data Sheet1'!F67:F69),0)</f>
        <v>4035</v>
      </c>
      <c r="D14" s="17">
        <f>IFERROR('Data Sheet1'!G65-SUM('Data Sheet1'!G67:G69),0)</f>
        <v>4021</v>
      </c>
      <c r="E14" s="17">
        <f>IFERROR('Data Sheet1'!H65-SUM('Data Sheet1'!H67:H69),0)</f>
        <v>4377</v>
      </c>
      <c r="F14" s="17">
        <f>IFERROR('Data Sheet1'!I65-SUM('Data Sheet1'!I67:I69),0)</f>
        <v>4517</v>
      </c>
      <c r="G14" s="17">
        <f>IFERROR('Data Sheet1'!J65-SUM('Data Sheet1'!J67:J69),0)</f>
        <v>4921</v>
      </c>
      <c r="H14" s="17">
        <f>IFERROR('Data Sheet1'!K65-SUM('Data Sheet1'!K67:K69),0)</f>
        <v>5655</v>
      </c>
      <c r="J14" s="31"/>
      <c r="K14" s="2">
        <f>IFERROR('Data Sheet2'!F65-SUM('Data Sheet2'!F67:F69),0)</f>
        <v>1725.2199999999998</v>
      </c>
      <c r="L14" s="17">
        <f>IFERROR('Data Sheet2'!G65-SUM('Data Sheet2'!G67:G69),0)</f>
        <v>1732.9300000000003</v>
      </c>
      <c r="M14" s="17">
        <f>IFERROR('Data Sheet2'!H65-SUM('Data Sheet2'!H67:H69),0)</f>
        <v>1732.9300000000003</v>
      </c>
      <c r="N14" s="17">
        <f>IFERROR('Data Sheet2'!I65-SUM('Data Sheet2'!I67:I69),0)</f>
        <v>1688.5599999999995</v>
      </c>
      <c r="O14" s="17">
        <f>IFERROR('Data Sheet2'!J65-SUM('Data Sheet2'!J67:J69),0)</f>
        <v>1663.1799999999998</v>
      </c>
      <c r="P14" s="17">
        <f>IFERROR('Data Sheet2'!K65-SUM('Data Sheet2'!K67:K69),0)</f>
        <v>1614.6100000000006</v>
      </c>
    </row>
    <row r="15" spans="1:16" x14ac:dyDescent="0.25">
      <c r="B15" s="99" t="s">
        <v>82</v>
      </c>
      <c r="C15" s="87">
        <f t="shared" ref="C15:H15" si="8">SUM(C11:C14)</f>
        <v>58932</v>
      </c>
      <c r="D15" s="87">
        <f t="shared" si="8"/>
        <v>60328</v>
      </c>
      <c r="E15" s="87">
        <f t="shared" si="8"/>
        <v>61069</v>
      </c>
      <c r="F15" s="87">
        <f t="shared" si="8"/>
        <v>63911</v>
      </c>
      <c r="G15" s="87">
        <f t="shared" si="8"/>
        <v>64075</v>
      </c>
      <c r="H15" s="87">
        <f t="shared" si="8"/>
        <v>68322</v>
      </c>
      <c r="J15" s="31"/>
      <c r="K15" s="99">
        <f t="shared" ref="K15:P15" si="9">SUM(K11:K14)</f>
        <v>5740.1</v>
      </c>
      <c r="L15" s="87">
        <f t="shared" si="9"/>
        <v>5912.5300000000007</v>
      </c>
      <c r="M15" s="87">
        <f t="shared" si="9"/>
        <v>5912.5300000000007</v>
      </c>
      <c r="N15" s="87">
        <f t="shared" si="9"/>
        <v>7354.3899999999994</v>
      </c>
      <c r="O15" s="87">
        <f t="shared" si="9"/>
        <v>9014.9500000000007</v>
      </c>
      <c r="P15" s="87">
        <f t="shared" si="9"/>
        <v>9117.61</v>
      </c>
    </row>
    <row r="16" spans="1:16" x14ac:dyDescent="0.25">
      <c r="C16" s="12"/>
      <c r="D16" s="12"/>
      <c r="E16" s="12"/>
      <c r="F16" s="12"/>
      <c r="G16" s="12"/>
      <c r="H16" s="12"/>
      <c r="J16" s="31"/>
      <c r="L16" s="12"/>
      <c r="M16" s="12"/>
      <c r="N16" s="12"/>
      <c r="O16" s="12"/>
      <c r="P16" s="12"/>
    </row>
    <row r="17" spans="2:16" x14ac:dyDescent="0.25">
      <c r="B17" s="2" t="s">
        <v>42</v>
      </c>
      <c r="C17" s="17">
        <f>IFERROR('Data Sheet1'!F67,0)</f>
        <v>1758</v>
      </c>
      <c r="D17" s="17">
        <f>IFERROR('Data Sheet1'!G67,0)</f>
        <v>2236</v>
      </c>
      <c r="E17" s="17">
        <f>IFERROR('Data Sheet1'!H67,0)</f>
        <v>3079</v>
      </c>
      <c r="F17" s="17">
        <f>IFERROR('Data Sheet1'!I67,0)</f>
        <v>2997</v>
      </c>
      <c r="G17" s="17">
        <f>IFERROR('Data Sheet1'!J67,0)</f>
        <v>3819</v>
      </c>
      <c r="H17" s="17">
        <f>IFERROR('Data Sheet1'!K67,0)</f>
        <v>3379</v>
      </c>
      <c r="J17" s="31"/>
      <c r="K17" s="2">
        <f>IFERROR('Data Sheet2'!F67,0)</f>
        <v>165.97</v>
      </c>
      <c r="L17" s="17">
        <f>IFERROR('Data Sheet2'!G67,0)</f>
        <v>191.89</v>
      </c>
      <c r="M17" s="17">
        <f>IFERROR('Data Sheet2'!H67,0)</f>
        <v>191.89</v>
      </c>
      <c r="N17" s="17">
        <f>IFERROR('Data Sheet2'!I67,0)</f>
        <v>300.45999999999998</v>
      </c>
      <c r="O17" s="17">
        <f>IFERROR('Data Sheet2'!J67,0)</f>
        <v>363.15</v>
      </c>
      <c r="P17" s="17">
        <f>IFERROR('Data Sheet2'!K67,0)</f>
        <v>329.47</v>
      </c>
    </row>
    <row r="18" spans="2:16" x14ac:dyDescent="0.25">
      <c r="B18" s="2" t="s">
        <v>43</v>
      </c>
      <c r="C18" s="17">
        <f>IFERROR('Data Sheet1'!F68,0)</f>
        <v>3579</v>
      </c>
      <c r="D18" s="17">
        <f>IFERROR('Data Sheet1'!G68,0)</f>
        <v>4096</v>
      </c>
      <c r="E18" s="17">
        <f>IFERROR('Data Sheet1'!H68,0)</f>
        <v>4251</v>
      </c>
      <c r="F18" s="17">
        <f>IFERROR('Data Sheet1'!I68,0)</f>
        <v>4022</v>
      </c>
      <c r="G18" s="17">
        <f>IFERROR('Data Sheet1'!J68,0)</f>
        <v>4415</v>
      </c>
      <c r="H18" s="17">
        <f>IFERROR('Data Sheet1'!K68,0)</f>
        <v>4789</v>
      </c>
      <c r="J18" s="31"/>
      <c r="K18" s="2">
        <f>IFERROR('Data Sheet2'!F68,0)</f>
        <v>1592.65</v>
      </c>
      <c r="L18" s="17">
        <f>IFERROR('Data Sheet2'!G68,0)</f>
        <v>1928.77</v>
      </c>
      <c r="M18" s="17">
        <f>IFERROR('Data Sheet2'!H68,0)</f>
        <v>1928.77</v>
      </c>
      <c r="N18" s="17">
        <f>IFERROR('Data Sheet2'!I68,0)</f>
        <v>2089.36</v>
      </c>
      <c r="O18" s="17">
        <f>IFERROR('Data Sheet2'!J68,0)</f>
        <v>2850.14</v>
      </c>
      <c r="P18" s="17">
        <f>IFERROR('Data Sheet2'!K68,0)</f>
        <v>2569.2199999999998</v>
      </c>
    </row>
    <row r="19" spans="2:16" x14ac:dyDescent="0.25">
      <c r="B19" s="2" t="s">
        <v>44</v>
      </c>
      <c r="C19" s="17">
        <f>IFERROR('Data Sheet1'!F69,0)</f>
        <v>4471</v>
      </c>
      <c r="D19" s="17">
        <f>IFERROR('Data Sheet1'!G69,0)</f>
        <v>3846</v>
      </c>
      <c r="E19" s="17">
        <f>IFERROR('Data Sheet1'!H69,0)</f>
        <v>4678</v>
      </c>
      <c r="F19" s="17">
        <f>IFERROR('Data Sheet1'!I69,0)</f>
        <v>7559</v>
      </c>
      <c r="G19" s="17">
        <f>IFERROR('Data Sheet1'!J69,0)</f>
        <v>7554</v>
      </c>
      <c r="H19" s="17">
        <f>IFERROR('Data Sheet1'!K69,0)</f>
        <v>3248</v>
      </c>
      <c r="J19" s="31"/>
      <c r="K19" s="2">
        <f>IFERROR('Data Sheet2'!F69,0)</f>
        <v>735.41</v>
      </c>
      <c r="L19" s="17">
        <f>IFERROR('Data Sheet2'!G69,0)</f>
        <v>945.55</v>
      </c>
      <c r="M19" s="17">
        <f>IFERROR('Data Sheet2'!H69,0)</f>
        <v>945.55</v>
      </c>
      <c r="N19" s="17">
        <f>IFERROR('Data Sheet2'!I69,0)</f>
        <v>778.85</v>
      </c>
      <c r="O19" s="17">
        <f>IFERROR('Data Sheet2'!J69,0)</f>
        <v>95.65</v>
      </c>
      <c r="P19" s="17">
        <f>IFERROR('Data Sheet2'!K69,0)</f>
        <v>1340.87</v>
      </c>
    </row>
    <row r="20" spans="2:16" x14ac:dyDescent="0.25">
      <c r="B20" s="100" t="s">
        <v>83</v>
      </c>
      <c r="C20" s="87">
        <f t="shared" ref="C20:H20" si="10">IFERROR(SUM(C17:C19),0)</f>
        <v>9808</v>
      </c>
      <c r="D20" s="87">
        <f t="shared" si="10"/>
        <v>10178</v>
      </c>
      <c r="E20" s="87">
        <f t="shared" si="10"/>
        <v>12008</v>
      </c>
      <c r="F20" s="87">
        <f t="shared" si="10"/>
        <v>14578</v>
      </c>
      <c r="G20" s="87">
        <f t="shared" si="10"/>
        <v>15788</v>
      </c>
      <c r="H20" s="87">
        <f t="shared" si="10"/>
        <v>11416</v>
      </c>
      <c r="J20" s="31"/>
      <c r="K20" s="100">
        <f t="shared" ref="K20:P20" si="11">IFERROR(SUM(K17:K19),0)</f>
        <v>2494.0300000000002</v>
      </c>
      <c r="L20" s="87">
        <f t="shared" si="11"/>
        <v>3066.21</v>
      </c>
      <c r="M20" s="87">
        <f t="shared" si="11"/>
        <v>3066.21</v>
      </c>
      <c r="N20" s="87">
        <f t="shared" si="11"/>
        <v>3168.67</v>
      </c>
      <c r="O20" s="87">
        <f t="shared" si="11"/>
        <v>3308.94</v>
      </c>
      <c r="P20" s="87">
        <f t="shared" si="11"/>
        <v>4239.5599999999995</v>
      </c>
    </row>
    <row r="21" spans="2:16" x14ac:dyDescent="0.25">
      <c r="J21" s="31"/>
    </row>
    <row r="22" spans="2:16" x14ac:dyDescent="0.25">
      <c r="B22" s="100" t="s">
        <v>84</v>
      </c>
      <c r="C22" s="87">
        <f>IFERROR(C20+C15,0)</f>
        <v>68740</v>
      </c>
      <c r="D22" s="87">
        <f t="shared" ref="D22:I22" si="12">IFERROR(D20+D15,0)</f>
        <v>70506</v>
      </c>
      <c r="E22" s="87">
        <f t="shared" si="12"/>
        <v>73077</v>
      </c>
      <c r="F22" s="87">
        <f t="shared" si="12"/>
        <v>78489</v>
      </c>
      <c r="G22" s="87">
        <f t="shared" si="12"/>
        <v>79863</v>
      </c>
      <c r="H22" s="87">
        <f t="shared" si="12"/>
        <v>79738</v>
      </c>
      <c r="I22" s="23">
        <f t="shared" si="12"/>
        <v>0</v>
      </c>
      <c r="J22" s="31"/>
      <c r="K22" s="100">
        <f t="shared" ref="K22:P22" si="13">IFERROR(K20+K15,0)</f>
        <v>8234.130000000001</v>
      </c>
      <c r="L22" s="87">
        <f t="shared" si="13"/>
        <v>8978.7400000000016</v>
      </c>
      <c r="M22" s="87">
        <f t="shared" si="13"/>
        <v>8978.7400000000016</v>
      </c>
      <c r="N22" s="87">
        <f t="shared" si="13"/>
        <v>10523.06</v>
      </c>
      <c r="O22" s="87">
        <f t="shared" si="13"/>
        <v>12323.890000000001</v>
      </c>
      <c r="P22" s="87">
        <f t="shared" si="13"/>
        <v>13357.17</v>
      </c>
    </row>
    <row r="23" spans="2:16" x14ac:dyDescent="0.25">
      <c r="J23" s="31"/>
      <c r="L23" s="17"/>
      <c r="M23" s="17"/>
      <c r="N23" s="17"/>
      <c r="O23" s="17"/>
      <c r="P23" s="17"/>
    </row>
    <row r="24" spans="2:16" x14ac:dyDescent="0.25">
      <c r="B24" s="15" t="s">
        <v>85</v>
      </c>
      <c r="C24" t="b">
        <f>C22=C9</f>
        <v>1</v>
      </c>
      <c r="D24" t="b">
        <f t="shared" ref="D24:H24" si="14">D22=D9</f>
        <v>1</v>
      </c>
      <c r="E24" t="b">
        <f t="shared" si="14"/>
        <v>1</v>
      </c>
      <c r="F24" t="b">
        <f t="shared" si="14"/>
        <v>1</v>
      </c>
      <c r="G24" t="b">
        <f t="shared" si="14"/>
        <v>1</v>
      </c>
      <c r="H24" t="b">
        <f t="shared" si="14"/>
        <v>1</v>
      </c>
      <c r="J24" s="31"/>
      <c r="K24" s="15" t="b">
        <f t="shared" ref="K24:P24" si="15">K22=K9</f>
        <v>1</v>
      </c>
      <c r="L24" s="15" t="b">
        <f t="shared" si="15"/>
        <v>1</v>
      </c>
      <c r="M24" s="15" t="b">
        <f t="shared" si="15"/>
        <v>1</v>
      </c>
      <c r="N24" s="15" t="b">
        <f t="shared" si="15"/>
        <v>1</v>
      </c>
      <c r="O24" s="15" t="b">
        <f t="shared" si="15"/>
        <v>1</v>
      </c>
      <c r="P24" s="15" t="b">
        <f t="shared" si="15"/>
        <v>1</v>
      </c>
    </row>
    <row r="25" spans="2:16" x14ac:dyDescent="0.25">
      <c r="J25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68F4-B102-4FFC-BE9D-34F0FA2A6722}">
  <sheetPr>
    <tabColor theme="7" tint="0.59999389629810485"/>
  </sheetPr>
  <dimension ref="A2:S39"/>
  <sheetViews>
    <sheetView showGridLines="0" workbookViewId="0">
      <selection activeCell="H35" sqref="H35"/>
    </sheetView>
  </sheetViews>
  <sheetFormatPr defaultRowHeight="15" x14ac:dyDescent="0.25"/>
  <cols>
    <col min="1" max="1" width="3" customWidth="1"/>
    <col min="2" max="2" width="26.7109375" customWidth="1"/>
    <col min="3" max="3" width="12.140625" bestFit="1" customWidth="1"/>
    <col min="4" max="4" width="12" customWidth="1"/>
    <col min="5" max="5" width="12.140625" bestFit="1" customWidth="1"/>
    <col min="6" max="6" width="12" customWidth="1"/>
    <col min="7" max="7" width="13.42578125" customWidth="1"/>
    <col min="8" max="8" width="12.42578125" customWidth="1"/>
    <col min="9" max="9" width="1.85546875" customWidth="1"/>
    <col min="10" max="10" width="1.7109375" customWidth="1"/>
    <col min="11" max="11" width="11.28515625" customWidth="1"/>
    <col min="12" max="12" width="17.42578125" customWidth="1"/>
    <col min="13" max="14" width="13.140625" customWidth="1"/>
    <col min="15" max="15" width="12" customWidth="1"/>
    <col min="16" max="16" width="11.140625" bestFit="1" customWidth="1"/>
    <col min="17" max="17" width="9.140625" style="28"/>
  </cols>
  <sheetData>
    <row r="2" spans="1:19" x14ac:dyDescent="0.25">
      <c r="A2" t="s">
        <v>59</v>
      </c>
      <c r="B2" s="25"/>
      <c r="C2" s="25"/>
      <c r="D2" s="25" t="str">
        <f>" Cash Flow Statement - "&amp;'Data Sheet1'!B1</f>
        <v xml:space="preserve"> Cash Flow Statement - HINDUSTAN UNILEVER LTD</v>
      </c>
      <c r="E2" s="25"/>
      <c r="F2" s="25"/>
      <c r="G2" s="25"/>
      <c r="H2" s="25"/>
      <c r="J2" s="32"/>
      <c r="K2" s="25"/>
      <c r="L2" s="25" t="str">
        <f>" Cash Flow Statement - "&amp;'Data Sheet2'!B1</f>
        <v xml:space="preserve"> Cash Flow Statement - NESTLE INDIA LTD</v>
      </c>
      <c r="M2" s="25"/>
      <c r="N2" s="25"/>
      <c r="O2" s="25"/>
      <c r="P2" s="25"/>
      <c r="Q2" s="29"/>
    </row>
    <row r="3" spans="1:19" x14ac:dyDescent="0.25">
      <c r="B3" s="24" t="s">
        <v>56</v>
      </c>
      <c r="C3" s="26">
        <f>'Data Sheet1'!F16</f>
        <v>44286</v>
      </c>
      <c r="D3" s="26">
        <f>'Data Sheet1'!G16</f>
        <v>44651</v>
      </c>
      <c r="E3" s="26">
        <f>'Data Sheet1'!H16</f>
        <v>45016</v>
      </c>
      <c r="F3" s="26">
        <f>'Data Sheet1'!I16</f>
        <v>45382</v>
      </c>
      <c r="G3" s="26">
        <f>'Data Sheet1'!J16</f>
        <v>45747</v>
      </c>
      <c r="H3" s="26">
        <f>'Data Sheet1'!K16</f>
        <v>46112</v>
      </c>
      <c r="J3" s="32"/>
      <c r="K3" s="26">
        <f>C3</f>
        <v>44286</v>
      </c>
      <c r="L3" s="26">
        <f t="shared" ref="L3:P3" si="0">D3</f>
        <v>44651</v>
      </c>
      <c r="M3" s="26">
        <f t="shared" si="0"/>
        <v>45016</v>
      </c>
      <c r="N3" s="26">
        <f t="shared" si="0"/>
        <v>45382</v>
      </c>
      <c r="O3" s="26">
        <f t="shared" si="0"/>
        <v>45747</v>
      </c>
      <c r="P3" s="26">
        <f t="shared" si="0"/>
        <v>46112</v>
      </c>
      <c r="Q3" s="30" t="s">
        <v>57</v>
      </c>
    </row>
    <row r="4" spans="1:19" s="28" customFormat="1" x14ac:dyDescent="0.25">
      <c r="B4" s="101"/>
      <c r="C4" s="30"/>
      <c r="D4" s="30"/>
      <c r="E4" s="30"/>
      <c r="F4" s="30"/>
      <c r="G4" s="30"/>
      <c r="H4" s="30"/>
      <c r="J4" s="31"/>
      <c r="K4" s="30"/>
      <c r="L4" s="30"/>
      <c r="M4" s="30"/>
      <c r="N4" s="30"/>
      <c r="O4" s="30"/>
      <c r="P4" s="30"/>
      <c r="Q4" s="30"/>
    </row>
    <row r="5" spans="1:19" x14ac:dyDescent="0.25">
      <c r="B5" s="12" t="s">
        <v>109</v>
      </c>
      <c r="C5" s="33"/>
      <c r="D5" s="33"/>
      <c r="E5" s="33"/>
      <c r="F5" s="33"/>
      <c r="G5" s="33"/>
      <c r="H5" s="33"/>
      <c r="J5" s="32"/>
      <c r="K5" s="33"/>
      <c r="L5" s="33"/>
      <c r="M5" s="33"/>
      <c r="N5" s="33"/>
      <c r="O5" s="33"/>
      <c r="P5" s="33"/>
      <c r="Q5" s="37"/>
      <c r="R5" s="37"/>
      <c r="S5" s="28"/>
    </row>
    <row r="6" spans="1:19" x14ac:dyDescent="0.25">
      <c r="B6" t="s">
        <v>110</v>
      </c>
      <c r="C6" s="34">
        <f>IFERROR('Cashflow H'!C5,0)</f>
        <v>9723</v>
      </c>
      <c r="D6" s="34">
        <f>IFERROR('Cashflow H'!D5,0)</f>
        <v>11672</v>
      </c>
      <c r="E6" s="34">
        <f>IFERROR('Cashflow H'!E5,0)</f>
        <v>12829</v>
      </c>
      <c r="F6" s="34">
        <f>IFERROR('Cashflow H'!F5,0)</f>
        <v>14089</v>
      </c>
      <c r="G6" s="34">
        <f>IFERROR('Cashflow H'!G5,0)</f>
        <v>14537</v>
      </c>
      <c r="H6" s="34">
        <f>IFERROR('Cashflow H'!H5,0)</f>
        <v>14942</v>
      </c>
      <c r="J6" s="32"/>
      <c r="K6" s="34">
        <f>IFERROR('Cash flow N'!C5,0)</f>
        <v>3136</v>
      </c>
      <c r="L6" s="34">
        <f>IFERROR('Cash flow N'!D5,0)</f>
        <v>3609</v>
      </c>
      <c r="M6" s="34">
        <f>IFERROR('Cash flow N'!E5,0)</f>
        <v>4388</v>
      </c>
      <c r="N6" s="34">
        <f>IFERROR('Cash flow N'!F5,0)</f>
        <v>5722</v>
      </c>
      <c r="O6" s="34">
        <f>IFERROR('Cash flow N'!G5,0)</f>
        <v>4672</v>
      </c>
      <c r="P6" s="34">
        <f>IFERROR('Cash flow N'!H5,0)</f>
        <v>5326</v>
      </c>
      <c r="Q6" s="34"/>
      <c r="R6" s="34"/>
    </row>
    <row r="7" spans="1:19" x14ac:dyDescent="0.25">
      <c r="B7" t="s">
        <v>42</v>
      </c>
      <c r="C7" s="34">
        <f>IFERROR('Cashflow H'!C6,0)</f>
        <v>0</v>
      </c>
      <c r="D7" s="34">
        <f>IFERROR('Cashflow H'!D6,0)</f>
        <v>0</v>
      </c>
      <c r="E7" s="34">
        <f>IFERROR('Cashflow H'!E6,0)</f>
        <v>0</v>
      </c>
      <c r="F7" s="34">
        <f>IFERROR('Cashflow H'!F6,0)</f>
        <v>0</v>
      </c>
      <c r="G7" s="34">
        <f>IFERROR('Cashflow H'!G6,0)</f>
        <v>0</v>
      </c>
      <c r="H7" s="34">
        <f>IFERROR('Cashflow H'!H6,0)</f>
        <v>0</v>
      </c>
      <c r="J7" s="32"/>
      <c r="K7" s="34">
        <f>IFERROR('Cash flow N'!C6,0)</f>
        <v>-2</v>
      </c>
      <c r="L7" s="34">
        <f>IFERROR('Cash flow N'!D6,0)</f>
        <v>-28</v>
      </c>
      <c r="M7" s="34">
        <f>IFERROR('Cash flow N'!E6,0)</f>
        <v>-11</v>
      </c>
      <c r="N7" s="34">
        <f>IFERROR('Cash flow N'!F6,0)</f>
        <v>-109</v>
      </c>
      <c r="O7" s="34">
        <f>IFERROR('Cash flow N'!G6,0)</f>
        <v>-70</v>
      </c>
      <c r="P7" s="34">
        <f>IFERROR('Cash flow N'!H6,0)</f>
        <v>34</v>
      </c>
      <c r="Q7" s="34"/>
      <c r="R7" s="34"/>
    </row>
    <row r="8" spans="1:19" x14ac:dyDescent="0.25">
      <c r="B8" t="s">
        <v>43</v>
      </c>
      <c r="C8" s="34">
        <f>IFERROR('Cashflow H'!C7,0)</f>
        <v>-331</v>
      </c>
      <c r="D8" s="34">
        <f>IFERROR('Cashflow H'!D7,0)</f>
        <v>-543</v>
      </c>
      <c r="E8" s="34">
        <f>IFERROR('Cashflow H'!E7,0)</f>
        <v>-758</v>
      </c>
      <c r="F8" s="34">
        <f>IFERROR('Cashflow H'!F7,0)</f>
        <v>-339</v>
      </c>
      <c r="G8" s="34">
        <f>IFERROR('Cashflow H'!G7,0)</f>
        <v>74</v>
      </c>
      <c r="H8" s="34">
        <f>IFERROR('Cashflow H'!H7,0)</f>
        <v>-584</v>
      </c>
      <c r="J8" s="32"/>
      <c r="K8" s="34">
        <f>IFERROR('Cash flow N'!C7,0)</f>
        <v>-169</v>
      </c>
      <c r="L8" s="34">
        <f>IFERROR('Cash flow N'!D7,0)</f>
        <v>-336</v>
      </c>
      <c r="M8" s="34">
        <f>IFERROR('Cash flow N'!E7,0)</f>
        <v>56</v>
      </c>
      <c r="N8" s="34">
        <f>IFERROR('Cash flow N'!F7,0)</f>
        <v>-161</v>
      </c>
      <c r="O8" s="34">
        <f>IFERROR('Cash flow N'!G7,0)</f>
        <v>-767</v>
      </c>
      <c r="P8" s="34">
        <f>IFERROR('Cash flow N'!H7,0)</f>
        <v>281</v>
      </c>
      <c r="Q8" s="34"/>
      <c r="R8" s="34"/>
    </row>
    <row r="9" spans="1:19" x14ac:dyDescent="0.25">
      <c r="B9" t="s">
        <v>111</v>
      </c>
      <c r="C9" s="34">
        <f>IFERROR('Cashflow H'!C8,0)</f>
        <v>0</v>
      </c>
      <c r="D9" s="34">
        <f>IFERROR('Cashflow H'!D8,0)</f>
        <v>0</v>
      </c>
      <c r="E9" s="34">
        <f>IFERROR('Cashflow H'!E8,0)</f>
        <v>0</v>
      </c>
      <c r="F9" s="34">
        <f>IFERROR('Cashflow H'!F8,0)</f>
        <v>0</v>
      </c>
      <c r="G9" s="34">
        <f>IFERROR('Cashflow H'!G8,0)</f>
        <v>0</v>
      </c>
      <c r="H9" s="34">
        <f>IFERROR('Cashflow H'!H8,0)</f>
        <v>0</v>
      </c>
      <c r="J9" s="32"/>
      <c r="K9" s="34">
        <f>IFERROR('Cash flow N'!C8,0)</f>
        <v>217</v>
      </c>
      <c r="L9" s="34">
        <f>IFERROR('Cash flow N'!D8,0)</f>
        <v>178</v>
      </c>
      <c r="M9" s="34">
        <f>IFERROR('Cash flow N'!E8,0)</f>
        <v>68</v>
      </c>
      <c r="N9" s="34">
        <f>IFERROR('Cash flow N'!F8,0)</f>
        <v>310</v>
      </c>
      <c r="O9" s="34">
        <f>IFERROR('Cash flow N'!G8,0)</f>
        <v>134</v>
      </c>
      <c r="P9" s="34">
        <f>IFERROR('Cash flow N'!H8,0)</f>
        <v>588</v>
      </c>
      <c r="Q9" s="34"/>
      <c r="R9" s="34"/>
    </row>
    <row r="10" spans="1:19" x14ac:dyDescent="0.25">
      <c r="B10" t="s">
        <v>112</v>
      </c>
      <c r="C10" s="34">
        <f>IFERROR('Cashflow H'!C9,0)</f>
        <v>0</v>
      </c>
      <c r="D10" s="34">
        <f>IFERROR('Cashflow H'!D9,0)</f>
        <v>0</v>
      </c>
      <c r="E10" s="34">
        <f>IFERROR('Cashflow H'!E9,0)</f>
        <v>0</v>
      </c>
      <c r="F10" s="34">
        <f>IFERROR('Cashflow H'!F9,0)</f>
        <v>0</v>
      </c>
      <c r="G10" s="34">
        <f>IFERROR('Cashflow H'!G9,0)</f>
        <v>0</v>
      </c>
      <c r="H10" s="34">
        <f>IFERROR('Cashflow H'!H9,0)</f>
        <v>0</v>
      </c>
      <c r="J10" s="32"/>
      <c r="K10" s="34">
        <f>IFERROR('Cash flow N'!C9,0)</f>
        <v>-40</v>
      </c>
      <c r="L10" s="34">
        <f>IFERROR('Cash flow N'!D9,0)</f>
        <v>-30</v>
      </c>
      <c r="M10" s="34">
        <f>IFERROR('Cash flow N'!E9,0)</f>
        <v>-30</v>
      </c>
      <c r="N10" s="34">
        <f>IFERROR('Cash flow N'!F9,0)</f>
        <v>-21</v>
      </c>
      <c r="O10" s="34">
        <f>IFERROR('Cash flow N'!G9,0)</f>
        <v>-199</v>
      </c>
      <c r="P10" s="34">
        <f>IFERROR('Cash flow N'!H9,0)</f>
        <v>-73</v>
      </c>
      <c r="Q10" s="34"/>
      <c r="R10" s="34"/>
    </row>
    <row r="11" spans="1:19" x14ac:dyDescent="0.25">
      <c r="B11" t="s">
        <v>113</v>
      </c>
      <c r="C11" s="34">
        <f>IFERROR('Cashflow H'!C10,0)</f>
        <v>742</v>
      </c>
      <c r="D11" s="34">
        <f>IFERROR('Cashflow H'!D10,0)</f>
        <v>442</v>
      </c>
      <c r="E11" s="34">
        <f>IFERROR('Cashflow H'!E10,0)</f>
        <v>-242</v>
      </c>
      <c r="F11" s="34">
        <f>IFERROR('Cashflow H'!F10,0)</f>
        <v>-621</v>
      </c>
      <c r="G11" s="34">
        <f>IFERROR('Cashflow H'!G10,0)</f>
        <v>1239</v>
      </c>
      <c r="H11" s="34">
        <f>IFERROR('Cashflow H'!H10,0)</f>
        <v>-204</v>
      </c>
      <c r="J11" s="32"/>
      <c r="K11" s="34">
        <f>IFERROR('Cash flow N'!C11,0)</f>
        <v>-179</v>
      </c>
      <c r="L11" s="34">
        <f>IFERROR('Cash flow N'!D11,0)</f>
        <v>185</v>
      </c>
      <c r="M11" s="34">
        <f>IFERROR('Cash flow N'!E11,0)</f>
        <v>-19</v>
      </c>
      <c r="N11" s="34">
        <f>IFERROR('Cash flow N'!F11,0)</f>
        <v>-268</v>
      </c>
      <c r="O11" s="34">
        <f>IFERROR('Cash flow N'!G11,0)</f>
        <v>155</v>
      </c>
      <c r="P11" s="34">
        <f>IFERROR('Cash flow N'!H11,0)</f>
        <v>-37</v>
      </c>
      <c r="Q11" s="34"/>
      <c r="R11" s="34"/>
    </row>
    <row r="12" spans="1:19" x14ac:dyDescent="0.25">
      <c r="B12" t="s">
        <v>114</v>
      </c>
      <c r="C12" s="34">
        <f>IFERROR('Cashflow H'!C11,0)</f>
        <v>411</v>
      </c>
      <c r="D12" s="34">
        <f>IFERROR('Cashflow H'!D11,0)</f>
        <v>-101</v>
      </c>
      <c r="E12" s="34">
        <f>IFERROR('Cashflow H'!E11,0)</f>
        <v>-1000</v>
      </c>
      <c r="F12" s="34">
        <f>IFERROR('Cashflow H'!F11,0)</f>
        <v>-960</v>
      </c>
      <c r="G12" s="34">
        <f>IFERROR('Cashflow H'!G11,0)</f>
        <v>1313</v>
      </c>
      <c r="H12" s="34">
        <f>IFERROR('Cashflow H'!H11,0)</f>
        <v>-788</v>
      </c>
      <c r="J12" s="32"/>
      <c r="K12" s="34">
        <f>IFERROR('Cash flow N'!C12,0)</f>
        <v>-172</v>
      </c>
      <c r="L12" s="34">
        <f>IFERROR('Cash flow N'!D12,0)</f>
        <v>-30</v>
      </c>
      <c r="M12" s="34">
        <f>IFERROR('Cash flow N'!E12,0)</f>
        <v>63</v>
      </c>
      <c r="N12" s="34">
        <f>IFERROR('Cash flow N'!F12,0)</f>
        <v>-249</v>
      </c>
      <c r="O12" s="34">
        <f>IFERROR('Cash flow N'!G12,0)</f>
        <v>-747</v>
      </c>
      <c r="P12" s="34">
        <f>IFERROR('Cash flow N'!H12,0)</f>
        <v>793</v>
      </c>
      <c r="Q12" s="34"/>
      <c r="R12" s="34"/>
    </row>
    <row r="13" spans="1:19" x14ac:dyDescent="0.25">
      <c r="B13" t="s">
        <v>115</v>
      </c>
      <c r="C13" s="75">
        <f>IFERROR('Cashflow H'!C12,0)</f>
        <v>-2505</v>
      </c>
      <c r="D13" s="75">
        <f>IFERROR('Cashflow H'!D12,0)</f>
        <v>-2407</v>
      </c>
      <c r="E13" s="75">
        <f>IFERROR('Cashflow H'!E12,0)</f>
        <v>-2784</v>
      </c>
      <c r="F13" s="75">
        <f>IFERROR('Cashflow H'!F12,0)</f>
        <v>-3138</v>
      </c>
      <c r="G13" s="75">
        <f>IFERROR('Cashflow H'!G12,0)</f>
        <v>-381</v>
      </c>
      <c r="H13" s="75">
        <f>IFERROR('Cashflow H'!H12,0)</f>
        <v>-2268</v>
      </c>
      <c r="J13" s="32"/>
      <c r="K13" s="34">
        <f>IFERROR('Cash flow N'!C13,0)</f>
        <v>-729</v>
      </c>
      <c r="L13" s="34">
        <f>IFERROR('Cash flow N'!D13,0)</f>
        <v>-841</v>
      </c>
      <c r="M13" s="34">
        <f>IFERROR('Cash flow N'!E13,0)</f>
        <v>-1059</v>
      </c>
      <c r="N13" s="34">
        <f>IFERROR('Cash flow N'!F13,0)</f>
        <v>-1299</v>
      </c>
      <c r="O13" s="34">
        <f>IFERROR('Cash flow N'!G13,0)</f>
        <v>-990</v>
      </c>
      <c r="P13" s="34">
        <f>IFERROR('Cash flow N'!H13,0)</f>
        <v>-1071</v>
      </c>
      <c r="Q13" s="34"/>
      <c r="R13" s="34"/>
    </row>
    <row r="14" spans="1:19" x14ac:dyDescent="0.25">
      <c r="B14" s="35" t="s">
        <v>116</v>
      </c>
      <c r="C14" s="38">
        <f>SUM(C6:C13)</f>
        <v>8040</v>
      </c>
      <c r="D14" s="38">
        <f t="shared" ref="D14:H14" si="1">SUM(D6:D13)</f>
        <v>9063</v>
      </c>
      <c r="E14" s="38">
        <f t="shared" si="1"/>
        <v>8045</v>
      </c>
      <c r="F14" s="38">
        <f t="shared" si="1"/>
        <v>9031</v>
      </c>
      <c r="G14" s="38">
        <f t="shared" si="1"/>
        <v>16782</v>
      </c>
      <c r="H14" s="38">
        <f t="shared" si="1"/>
        <v>11098</v>
      </c>
      <c r="I14" s="77"/>
      <c r="J14" s="79"/>
      <c r="K14" s="36">
        <f>SUM(K6:K13)</f>
        <v>2062</v>
      </c>
      <c r="L14" s="36">
        <f t="shared" ref="L14:P14" si="2">SUM(L6:L13)</f>
        <v>2707</v>
      </c>
      <c r="M14" s="36">
        <f t="shared" si="2"/>
        <v>3456</v>
      </c>
      <c r="N14" s="36">
        <f t="shared" si="2"/>
        <v>3925</v>
      </c>
      <c r="O14" s="36">
        <f t="shared" si="2"/>
        <v>2188</v>
      </c>
      <c r="P14" s="36">
        <f t="shared" si="2"/>
        <v>5841</v>
      </c>
      <c r="Q14" s="38"/>
      <c r="R14" s="38"/>
    </row>
    <row r="15" spans="1:19" x14ac:dyDescent="0.25">
      <c r="J15" s="32"/>
      <c r="Q15"/>
    </row>
    <row r="16" spans="1:19" x14ac:dyDescent="0.25">
      <c r="B16" s="12" t="s">
        <v>117</v>
      </c>
      <c r="J16" s="32"/>
      <c r="Q16"/>
    </row>
    <row r="17" spans="2:18" x14ac:dyDescent="0.25">
      <c r="B17" t="s">
        <v>118</v>
      </c>
      <c r="C17" s="34">
        <f>IFERROR('Cashflow H'!C16,0)</f>
        <v>-862</v>
      </c>
      <c r="D17" s="34">
        <f>IFERROR('Cashflow H'!D16,0)</f>
        <v>-4163</v>
      </c>
      <c r="E17" s="34">
        <f>IFERROR('Cashflow H'!E16,0)</f>
        <v>-1228</v>
      </c>
      <c r="F17" s="34">
        <f>IFERROR('Cashflow H'!F16,0)</f>
        <v>-1192</v>
      </c>
      <c r="G17" s="34">
        <f>IFERROR('Cashflow H'!G16,0)</f>
        <v>-1477</v>
      </c>
      <c r="H17" s="34">
        <f>IFERROR('Cashflow H'!H16,0)</f>
        <v>-1275</v>
      </c>
      <c r="J17" s="32"/>
      <c r="K17" s="34">
        <f>IFERROR('Cash flow N'!C15,0)</f>
        <v>-735</v>
      </c>
      <c r="L17" s="34">
        <f>IFERROR('Cash flow N'!D15,0)</f>
        <v>-550</v>
      </c>
      <c r="M17" s="34">
        <f>IFERROR('Cash flow N'!E15,0)</f>
        <v>-1371</v>
      </c>
      <c r="N17" s="34">
        <f>IFERROR('Cash flow N'!F15,0)</f>
        <v>-1883</v>
      </c>
      <c r="O17" s="34">
        <f>IFERROR('Cash flow N'!G15,0)</f>
        <v>-2009</v>
      </c>
      <c r="P17" s="34">
        <f>IFERROR('Cash flow N'!H15,0)</f>
        <v>-830</v>
      </c>
      <c r="Q17" s="34"/>
      <c r="R17" s="34"/>
    </row>
    <row r="18" spans="2:18" x14ac:dyDescent="0.25">
      <c r="B18" t="s">
        <v>119</v>
      </c>
      <c r="C18" s="34">
        <f>IFERROR('Cashflow H'!C17,0)</f>
        <v>52</v>
      </c>
      <c r="D18" s="34">
        <f>IFERROR('Cashflow H'!D17,0)</f>
        <v>97</v>
      </c>
      <c r="E18" s="34">
        <f>IFERROR('Cashflow H'!E17,0)</f>
        <v>175</v>
      </c>
      <c r="F18" s="34">
        <f>IFERROR('Cashflow H'!F17,0)</f>
        <v>181</v>
      </c>
      <c r="G18" s="34">
        <f>IFERROR('Cashflow H'!G17,0)</f>
        <v>20</v>
      </c>
      <c r="H18" s="34">
        <f>IFERROR('Cashflow H'!H17,0)</f>
        <v>13</v>
      </c>
      <c r="J18" s="32"/>
      <c r="K18" s="34">
        <f>IFERROR('Cash flow N'!C16,0)</f>
        <v>4</v>
      </c>
      <c r="L18" s="34">
        <f>IFERROR('Cash flow N'!D16,0)</f>
        <v>9</v>
      </c>
      <c r="M18" s="34">
        <f>IFERROR('Cash flow N'!E16,0)</f>
        <v>7</v>
      </c>
      <c r="N18" s="34">
        <f>IFERROR('Cash flow N'!F16,0)</f>
        <v>4</v>
      </c>
      <c r="O18" s="34">
        <f>IFERROR('Cash flow N'!G16,0)</f>
        <v>4</v>
      </c>
      <c r="P18" s="34">
        <f>IFERROR('Cash flow N'!H16,0)</f>
        <v>3</v>
      </c>
      <c r="Q18" s="34"/>
      <c r="R18" s="34"/>
    </row>
    <row r="19" spans="2:18" x14ac:dyDescent="0.25">
      <c r="B19" t="s">
        <v>120</v>
      </c>
      <c r="C19" s="34">
        <f>IFERROR('Cashflow H'!C18,0)</f>
        <v>-36090</v>
      </c>
      <c r="D19" s="34">
        <f>IFERROR('Cashflow H'!D18,0)</f>
        <v>-39920</v>
      </c>
      <c r="E19" s="34">
        <f>IFERROR('Cashflow H'!E18,0)</f>
        <v>-48522</v>
      </c>
      <c r="F19" s="34">
        <f>IFERROR('Cashflow H'!F18,0)</f>
        <v>-22649</v>
      </c>
      <c r="G19" s="34">
        <f>IFERROR('Cashflow H'!G18,0)</f>
        <v>-21337</v>
      </c>
      <c r="H19" s="34">
        <f>IFERROR('Cashflow H'!H18,0)</f>
        <v>-22957</v>
      </c>
      <c r="J19" s="32"/>
      <c r="K19" s="34">
        <f>IFERROR('Cash flow N'!C17,0)</f>
        <v>0</v>
      </c>
      <c r="L19" s="34">
        <f>IFERROR('Cash flow N'!D17,0)</f>
        <v>0</v>
      </c>
      <c r="M19" s="34">
        <f>IFERROR('Cash flow N'!E17,0)</f>
        <v>0</v>
      </c>
      <c r="N19" s="34">
        <f>IFERROR('Cash flow N'!F17,0)</f>
        <v>0</v>
      </c>
      <c r="O19" s="34">
        <f>IFERROR('Cash flow N'!G17,0)</f>
        <v>0</v>
      </c>
      <c r="P19" s="34">
        <f>IFERROR('Cash flow N'!H17,0)</f>
        <v>0</v>
      </c>
      <c r="Q19" s="34"/>
      <c r="R19" s="34"/>
    </row>
    <row r="20" spans="2:18" x14ac:dyDescent="0.25">
      <c r="B20" t="s">
        <v>121</v>
      </c>
      <c r="C20" s="34">
        <f>IFERROR('Cashflow H'!C19,0)</f>
        <v>37690</v>
      </c>
      <c r="D20" s="34">
        <f>IFERROR('Cashflow H'!D19,0)</f>
        <v>38486</v>
      </c>
      <c r="E20" s="34">
        <f>IFERROR('Cashflow H'!E19,0)</f>
        <v>47786</v>
      </c>
      <c r="F20" s="34">
        <f>IFERROR('Cashflow H'!F19,0)</f>
        <v>23462</v>
      </c>
      <c r="G20" s="34">
        <f>IFERROR('Cashflow H'!G19,0)</f>
        <v>19846</v>
      </c>
      <c r="H20" s="34">
        <f>IFERROR('Cashflow H'!H19,0)</f>
        <v>23987</v>
      </c>
      <c r="J20" s="32"/>
      <c r="K20" s="34">
        <f>IFERROR('Cash flow N'!C18,0)</f>
        <v>0</v>
      </c>
      <c r="L20" s="34">
        <f>IFERROR('Cash flow N'!D18,0)</f>
        <v>25</v>
      </c>
      <c r="M20" s="34">
        <f>IFERROR('Cash flow N'!E18,0)</f>
        <v>312</v>
      </c>
      <c r="N20" s="34">
        <f>IFERROR('Cash flow N'!F18,0)</f>
        <v>284</v>
      </c>
      <c r="O20" s="34">
        <f>IFERROR('Cash flow N'!G18,0)</f>
        <v>424</v>
      </c>
      <c r="P20" s="34">
        <f>IFERROR('Cash flow N'!H18,0)</f>
        <v>0</v>
      </c>
      <c r="Q20" s="34"/>
      <c r="R20" s="34"/>
    </row>
    <row r="21" spans="2:18" x14ac:dyDescent="0.25">
      <c r="B21" t="s">
        <v>122</v>
      </c>
      <c r="C21" s="34">
        <f>IFERROR('Cashflow H'!C20,0)</f>
        <v>351</v>
      </c>
      <c r="D21" s="34">
        <f>IFERROR('Cashflow H'!D20,0)</f>
        <v>277</v>
      </c>
      <c r="E21" s="34">
        <f>IFERROR('Cashflow H'!E20,0)</f>
        <v>161</v>
      </c>
      <c r="F21" s="34">
        <f>IFERROR('Cashflow H'!F20,0)</f>
        <v>259</v>
      </c>
      <c r="G21" s="34">
        <f>IFERROR('Cashflow H'!G20,0)</f>
        <v>425</v>
      </c>
      <c r="H21" s="34">
        <f>IFERROR('Cashflow H'!H20,0)</f>
        <v>835</v>
      </c>
      <c r="J21" s="32"/>
      <c r="K21" s="34">
        <f>IFERROR('Cash flow N'!C19,0)</f>
        <v>125</v>
      </c>
      <c r="L21" s="34">
        <f>IFERROR('Cash flow N'!D19,0)</f>
        <v>103</v>
      </c>
      <c r="M21" s="34">
        <f>IFERROR('Cash flow N'!E19,0)</f>
        <v>0</v>
      </c>
      <c r="N21" s="34">
        <f>IFERROR('Cash flow N'!F19,0)</f>
        <v>167</v>
      </c>
      <c r="O21" s="34">
        <f>IFERROR('Cash flow N'!G19,0)</f>
        <v>76</v>
      </c>
      <c r="P21" s="34">
        <f>IFERROR('Cash flow N'!H19,0)</f>
        <v>34</v>
      </c>
      <c r="Q21" s="34"/>
      <c r="R21" s="34"/>
    </row>
    <row r="22" spans="2:18" x14ac:dyDescent="0.25">
      <c r="B22" t="s">
        <v>123</v>
      </c>
      <c r="C22" s="34">
        <f>IFERROR('Cashflow H'!C21,0)</f>
        <v>1</v>
      </c>
      <c r="D22" s="34">
        <f>IFERROR('Cashflow H'!D21,0)</f>
        <v>1</v>
      </c>
      <c r="E22" s="34">
        <f>IFERROR('Cashflow H'!E21,0)</f>
        <v>1</v>
      </c>
      <c r="F22" s="34">
        <f>IFERROR('Cashflow H'!F21,0)</f>
        <v>2</v>
      </c>
      <c r="G22" s="34">
        <f>IFERROR('Cashflow H'!G21,0)</f>
        <v>3</v>
      </c>
      <c r="H22" s="34">
        <f>IFERROR('Cashflow H'!H21,0)</f>
        <v>0</v>
      </c>
      <c r="J22" s="32"/>
      <c r="K22" s="34">
        <f>IFERROR('Cash flow N'!C20,0)</f>
        <v>0</v>
      </c>
      <c r="L22" s="34">
        <f>IFERROR('Cash flow N'!D20,0)</f>
        <v>0</v>
      </c>
      <c r="M22" s="34">
        <f>IFERROR('Cash flow N'!E20,0)</f>
        <v>0</v>
      </c>
      <c r="N22" s="34">
        <f>IFERROR('Cash flow N'!F20,0)</f>
        <v>0</v>
      </c>
      <c r="O22" s="34">
        <f>IFERROR('Cash flow N'!G20,0)</f>
        <v>0</v>
      </c>
      <c r="P22" s="34">
        <f>IFERROR('Cash flow N'!H20,0)</f>
        <v>0</v>
      </c>
      <c r="Q22" s="34"/>
      <c r="R22" s="34"/>
    </row>
    <row r="23" spans="2:18" x14ac:dyDescent="0.25">
      <c r="B23" t="s">
        <v>124</v>
      </c>
      <c r="C23" s="34">
        <f>IFERROR('Cashflow H'!C22,0)</f>
        <v>0</v>
      </c>
      <c r="D23" s="34">
        <f>IFERROR('Cashflow H'!D22,0)</f>
        <v>0</v>
      </c>
      <c r="E23" s="34">
        <f>IFERROR('Cashflow H'!E22,0)</f>
        <v>0</v>
      </c>
      <c r="F23" s="34">
        <f>IFERROR('Cashflow H'!F22,0)</f>
        <v>-334</v>
      </c>
      <c r="G23" s="34">
        <f>IFERROR('Cashflow H'!G22,0)</f>
        <v>0</v>
      </c>
      <c r="H23" s="34">
        <f>IFERROR('Cashflow H'!H22,0)</f>
        <v>0</v>
      </c>
      <c r="J23" s="32"/>
      <c r="K23" s="34">
        <f>IFERROR('Cash flow N'!C21,0)</f>
        <v>0</v>
      </c>
      <c r="L23" s="34">
        <f>IFERROR('Cash flow N'!D21,0)</f>
        <v>0</v>
      </c>
      <c r="M23" s="34">
        <f>IFERROR('Cash flow N'!E21,0)</f>
        <v>0</v>
      </c>
      <c r="N23" s="34">
        <f>IFERROR('Cash flow N'!F21,0)</f>
        <v>0</v>
      </c>
      <c r="O23" s="34">
        <f>IFERROR('Cash flow N'!G21,0)</f>
        <v>-706</v>
      </c>
      <c r="P23" s="34">
        <f>IFERROR('Cash flow N'!H21,0)</f>
        <v>0</v>
      </c>
      <c r="Q23" s="34"/>
      <c r="R23" s="34"/>
    </row>
    <row r="24" spans="2:18" x14ac:dyDescent="0.25">
      <c r="B24" t="s">
        <v>125</v>
      </c>
      <c r="C24" s="34">
        <f>IFERROR('Cashflow H'!C23,0)</f>
        <v>649</v>
      </c>
      <c r="D24" s="34">
        <f>IFERROR('Cashflow H'!D23,0)</f>
        <v>3994</v>
      </c>
      <c r="E24" s="34">
        <f>IFERROR('Cashflow H'!E23,0)</f>
        <v>-101</v>
      </c>
      <c r="F24" s="34">
        <f>IFERROR('Cashflow H'!F23,0)</f>
        <v>-1213</v>
      </c>
      <c r="G24" s="34">
        <f>IFERROR('Cashflow H'!G23,0)</f>
        <v>-2804</v>
      </c>
      <c r="H24" s="34">
        <f>IFERROR('Cashflow H'!H23,0)</f>
        <v>5870</v>
      </c>
      <c r="I24" s="76"/>
      <c r="K24" s="34">
        <f>IFERROR('Cash flow N'!C22,0)</f>
        <v>-1314</v>
      </c>
      <c r="L24" s="34">
        <f>IFERROR('Cash flow N'!D22,0)</f>
        <v>20</v>
      </c>
      <c r="M24" s="34">
        <f>IFERROR('Cash flow N'!E22,0)</f>
        <v>126</v>
      </c>
      <c r="N24" s="34">
        <f>IFERROR('Cash flow N'!F22,0)</f>
        <v>190</v>
      </c>
      <c r="O24" s="34">
        <f>IFERROR('Cash flow N'!G22,0)</f>
        <v>400</v>
      </c>
      <c r="P24" s="34">
        <f>IFERROR('Cash flow N'!H22,0)</f>
        <v>168</v>
      </c>
      <c r="Q24" s="34"/>
      <c r="R24" s="34"/>
    </row>
    <row r="25" spans="2:18" x14ac:dyDescent="0.25">
      <c r="B25" s="35" t="s">
        <v>126</v>
      </c>
      <c r="C25" s="36">
        <f>SUM(C17:C24)</f>
        <v>1791</v>
      </c>
      <c r="D25" s="36">
        <f t="shared" ref="D25:H25" si="3">SUM(D17:D24)</f>
        <v>-1228</v>
      </c>
      <c r="E25" s="36">
        <f t="shared" si="3"/>
        <v>-1728</v>
      </c>
      <c r="F25" s="36">
        <f t="shared" si="3"/>
        <v>-1484</v>
      </c>
      <c r="G25" s="36">
        <f t="shared" si="3"/>
        <v>-5324</v>
      </c>
      <c r="H25" s="36">
        <f t="shared" si="3"/>
        <v>6473</v>
      </c>
      <c r="I25" s="78"/>
      <c r="J25" s="77"/>
      <c r="K25" s="36">
        <f>SUM(K17:K24)</f>
        <v>-1920</v>
      </c>
      <c r="L25" s="36">
        <f t="shared" ref="L25:P25" si="4">SUM(L17:L24)</f>
        <v>-393</v>
      </c>
      <c r="M25" s="36">
        <f t="shared" si="4"/>
        <v>-926</v>
      </c>
      <c r="N25" s="36">
        <f t="shared" si="4"/>
        <v>-1238</v>
      </c>
      <c r="O25" s="36">
        <f t="shared" si="4"/>
        <v>-1811</v>
      </c>
      <c r="P25" s="36">
        <f t="shared" si="4"/>
        <v>-625</v>
      </c>
      <c r="Q25" s="38"/>
      <c r="R25" s="38"/>
    </row>
    <row r="26" spans="2:18" x14ac:dyDescent="0.25">
      <c r="C26" s="38"/>
      <c r="D26" s="38"/>
      <c r="E26" s="38"/>
      <c r="F26" s="38"/>
      <c r="G26" s="38"/>
      <c r="H26" s="38"/>
      <c r="I26" s="76"/>
      <c r="K26" s="38"/>
      <c r="L26" s="38"/>
      <c r="M26" s="38"/>
      <c r="N26" s="38"/>
      <c r="O26" s="38"/>
      <c r="P26" s="38"/>
    </row>
    <row r="27" spans="2:18" x14ac:dyDescent="0.25">
      <c r="B27" s="12" t="s">
        <v>147</v>
      </c>
      <c r="I27" s="76"/>
    </row>
    <row r="28" spans="2:18" x14ac:dyDescent="0.25">
      <c r="B28" t="s">
        <v>133</v>
      </c>
      <c r="C28" s="34">
        <f>IFERROR('Cashflow H'!C25,0)</f>
        <v>0</v>
      </c>
      <c r="D28" s="34">
        <f>IFERROR('Cashflow H'!D25,0)</f>
        <v>0</v>
      </c>
      <c r="E28" s="34">
        <f>IFERROR('Cashflow H'!E25,0)</f>
        <v>0</v>
      </c>
      <c r="F28" s="34">
        <f>IFERROR('Cashflow H'!F25,0)</f>
        <v>0</v>
      </c>
      <c r="G28" s="34">
        <f>IFERROR('Cashflow H'!G25,0)</f>
        <v>0</v>
      </c>
      <c r="H28" s="34">
        <f>IFERROR('Cashflow H'!H25,0)</f>
        <v>0</v>
      </c>
      <c r="I28" s="76"/>
      <c r="K28" s="34">
        <f>IFERROR('Cash flow N'!C24,0)</f>
        <v>24</v>
      </c>
      <c r="L28" s="34">
        <f>IFERROR('Cash flow N'!D24,0)</f>
        <v>0</v>
      </c>
      <c r="M28" s="34">
        <f>IFERROR('Cash flow N'!E24,0)</f>
        <v>0</v>
      </c>
      <c r="N28" s="34">
        <f>IFERROR('Cash flow N'!F24,0)</f>
        <v>0</v>
      </c>
      <c r="O28" s="34">
        <f>IFERROR('Cash flow N'!G24,0)</f>
        <v>726</v>
      </c>
      <c r="P28" s="34">
        <f>IFERROR('Cash flow N'!H24,0)</f>
        <v>0</v>
      </c>
    </row>
    <row r="29" spans="2:18" x14ac:dyDescent="0.25">
      <c r="B29" t="s">
        <v>135</v>
      </c>
      <c r="C29" s="34">
        <f>IFERROR('Cashflow H'!C26,0)</f>
        <v>0</v>
      </c>
      <c r="D29" s="34">
        <f>IFERROR('Cashflow H'!D26,0)</f>
        <v>188</v>
      </c>
      <c r="E29" s="34">
        <f>IFERROR('Cashflow H'!E26,0)</f>
        <v>55</v>
      </c>
      <c r="F29" s="34">
        <f>IFERROR('Cashflow H'!F26,0)</f>
        <v>286</v>
      </c>
      <c r="G29" s="34">
        <f>IFERROR('Cashflow H'!G26,0)</f>
        <v>0</v>
      </c>
      <c r="H29" s="34">
        <f>IFERROR('Cashflow H'!H26,0)</f>
        <v>0</v>
      </c>
      <c r="I29" s="76"/>
      <c r="K29" s="34">
        <f>IFERROR('Cash flow N'!C25,0)</f>
        <v>-24</v>
      </c>
      <c r="L29" s="34">
        <f>IFERROR('Cash flow N'!D25,0)</f>
        <v>0</v>
      </c>
      <c r="M29" s="34">
        <f>IFERROR('Cash flow N'!E25,0)</f>
        <v>0</v>
      </c>
      <c r="N29" s="34">
        <f>IFERROR('Cash flow N'!F25,0)</f>
        <v>0</v>
      </c>
      <c r="O29" s="34">
        <f>IFERROR('Cash flow N'!G25,0)</f>
        <v>0</v>
      </c>
      <c r="P29" s="34">
        <f>IFERROR('Cash flow N'!H25,0)</f>
        <v>-726</v>
      </c>
    </row>
    <row r="30" spans="2:18" x14ac:dyDescent="0.25">
      <c r="B30" s="64" t="s">
        <v>146</v>
      </c>
      <c r="C30" s="34">
        <f>IFERROR('Cashflow H'!C27,0)</f>
        <v>-99</v>
      </c>
      <c r="D30" s="34">
        <f>IFERROR('Cashflow H'!D27,0)</f>
        <v>-188</v>
      </c>
      <c r="E30" s="34">
        <f>IFERROR('Cashflow H'!E27,0)</f>
        <v>-55</v>
      </c>
      <c r="F30" s="34">
        <f>IFERROR('Cashflow H'!F27,0)</f>
        <v>-208</v>
      </c>
      <c r="G30" s="34">
        <f>IFERROR('Cashflow H'!G27,0)</f>
        <v>-85</v>
      </c>
      <c r="H30" s="34">
        <f>IFERROR('Cashflow H'!H27,0)</f>
        <v>0</v>
      </c>
      <c r="I30" s="76"/>
      <c r="K30" s="34">
        <f>IFERROR('Cash flow N'!C26,0)</f>
        <v>0</v>
      </c>
      <c r="L30" s="34">
        <f>IFERROR('Cash flow N'!D26,0)</f>
        <v>0</v>
      </c>
      <c r="M30" s="34">
        <f>IFERROR('Cash flow N'!E26,0)</f>
        <v>0</v>
      </c>
      <c r="N30" s="34">
        <f>IFERROR('Cash flow N'!F26,0)</f>
        <v>0</v>
      </c>
      <c r="O30" s="34">
        <f>IFERROR('Cash flow N'!G26,0)</f>
        <v>0</v>
      </c>
      <c r="P30" s="34">
        <f>IFERROR('Cash flow N'!H26,0)</f>
        <v>0</v>
      </c>
    </row>
    <row r="31" spans="2:18" x14ac:dyDescent="0.25">
      <c r="B31" t="s">
        <v>136</v>
      </c>
      <c r="C31" s="34">
        <f>IFERROR('Cashflow H'!C28,0)</f>
        <v>-90</v>
      </c>
      <c r="D31" s="34">
        <f>IFERROR('Cashflow H'!D28,0)</f>
        <v>-92</v>
      </c>
      <c r="E31" s="34">
        <f>IFERROR('Cashflow H'!E28,0)</f>
        <v>-82</v>
      </c>
      <c r="F31" s="34">
        <f>IFERROR('Cashflow H'!F28,0)</f>
        <v>-88</v>
      </c>
      <c r="G31" s="34">
        <f>IFERROR('Cashflow H'!G28,0)</f>
        <v>-110</v>
      </c>
      <c r="H31" s="34">
        <f>IFERROR('Cashflow H'!H28,0)</f>
        <v>-130</v>
      </c>
      <c r="I31" s="76"/>
      <c r="K31" s="34">
        <f>IFERROR('Cash flow N'!C27,0)</f>
        <v>-9</v>
      </c>
      <c r="L31" s="34">
        <f>IFERROR('Cash flow N'!D27,0)</f>
        <v>-18</v>
      </c>
      <c r="M31" s="34">
        <f>IFERROR('Cash flow N'!E27,0)</f>
        <v>-20</v>
      </c>
      <c r="N31" s="34">
        <f>IFERROR('Cash flow N'!F27,0)</f>
        <v>-26</v>
      </c>
      <c r="O31" s="34">
        <f>IFERROR('Cash flow N'!G27,0)</f>
        <v>-34</v>
      </c>
      <c r="P31" s="34">
        <f>IFERROR('Cash flow N'!H27,0)</f>
        <v>-50</v>
      </c>
    </row>
    <row r="32" spans="2:18" x14ac:dyDescent="0.25">
      <c r="B32" t="s">
        <v>137</v>
      </c>
      <c r="C32" s="34">
        <f>IFERROR('Cashflow H'!C29,0)</f>
        <v>-5196</v>
      </c>
      <c r="D32" s="34">
        <f>IFERROR('Cashflow H'!D29,0)</f>
        <v>-8811</v>
      </c>
      <c r="E32" s="34">
        <f>IFERROR('Cashflow H'!E29,0)</f>
        <v>-7526</v>
      </c>
      <c r="F32" s="34">
        <f>IFERROR('Cashflow H'!F29,0)</f>
        <v>-8474</v>
      </c>
      <c r="G32" s="34">
        <f>IFERROR('Cashflow H'!G29,0)</f>
        <v>-9416</v>
      </c>
      <c r="H32" s="34">
        <f>IFERROR('Cashflow H'!H29,0)</f>
        <v>-12473</v>
      </c>
      <c r="I32" s="76"/>
      <c r="K32" s="34">
        <f>IFERROR('Cash flow N'!C28,0)</f>
        <v>-1928</v>
      </c>
      <c r="L32" s="34">
        <f>IFERROR('Cash flow N'!D28,0)</f>
        <v>-2025</v>
      </c>
      <c r="M32" s="34">
        <f>IFERROR('Cash flow N'!E28,0)</f>
        <v>-2333</v>
      </c>
      <c r="N32" s="34">
        <f>IFERROR('Cash flow N'!F28,0)</f>
        <v>-3008</v>
      </c>
      <c r="O32" s="34">
        <f>IFERROR('Cash flow N'!G28,0)</f>
        <v>-2459</v>
      </c>
      <c r="P32" s="34">
        <f>IFERROR('Cash flow N'!H28,0)</f>
        <v>-2314</v>
      </c>
    </row>
    <row r="33" spans="2:16" x14ac:dyDescent="0.25">
      <c r="B33" t="s">
        <v>138</v>
      </c>
      <c r="C33" s="34">
        <f>IFERROR('Cashflow H'!C30,0)</f>
        <v>-373</v>
      </c>
      <c r="D33" s="34">
        <f>IFERROR('Cashflow H'!D30,0)</f>
        <v>-406</v>
      </c>
      <c r="E33" s="34">
        <f>IFERROR('Cashflow H'!E30,0)</f>
        <v>-407</v>
      </c>
      <c r="F33" s="34">
        <f>IFERROR('Cashflow H'!F30,0)</f>
        <v>-467</v>
      </c>
      <c r="G33" s="34">
        <f>IFERROR('Cashflow H'!G30,0)</f>
        <v>-423</v>
      </c>
      <c r="H33" s="34">
        <f>IFERROR('Cashflow H'!H30,0)</f>
        <v>-498</v>
      </c>
      <c r="I33" s="76"/>
      <c r="K33" s="34">
        <f>IFERROR('Cash flow N'!C29,0)</f>
        <v>-79</v>
      </c>
      <c r="L33" s="34">
        <f>IFERROR('Cash flow N'!D29,0)</f>
        <v>-73</v>
      </c>
      <c r="M33" s="34">
        <f>IFERROR('Cash flow N'!E29,0)</f>
        <v>-166</v>
      </c>
      <c r="N33" s="34">
        <f>IFERROR('Cash flow N'!F29,0)</f>
        <v>-100</v>
      </c>
      <c r="O33" s="34">
        <f>IFERROR('Cash flow N'!G29,0)</f>
        <v>-76</v>
      </c>
      <c r="P33" s="34">
        <f>IFERROR('Cash flow N'!H29,0)</f>
        <v>-86</v>
      </c>
    </row>
    <row r="34" spans="2:16" x14ac:dyDescent="0.25">
      <c r="B34" t="s">
        <v>139</v>
      </c>
      <c r="C34" s="34">
        <f>IFERROR('Cashflow H'!C31,0)</f>
        <v>-1061</v>
      </c>
      <c r="D34" s="34">
        <f>IFERROR('Cashflow H'!D31,0)</f>
        <v>0</v>
      </c>
      <c r="E34" s="34">
        <f>IFERROR('Cashflow H'!E31,0)</f>
        <v>0</v>
      </c>
      <c r="F34" s="34">
        <f>IFERROR('Cashflow H'!F31,0)</f>
        <v>-2</v>
      </c>
      <c r="G34" s="34">
        <f>IFERROR('Cashflow H'!G31,0)</f>
        <v>0</v>
      </c>
      <c r="H34" s="34">
        <f>IFERROR('Cashflow H'!H31,0)</f>
        <v>0</v>
      </c>
      <c r="I34" s="76"/>
      <c r="K34" s="34">
        <f>IFERROR('Cash flow N'!C30,0)</f>
        <v>-3</v>
      </c>
      <c r="L34" s="34">
        <f>IFERROR('Cash flow N'!D30,0)</f>
        <v>-7</v>
      </c>
      <c r="M34" s="34">
        <f>IFERROR('Cash flow N'!E30,0)</f>
        <v>83</v>
      </c>
      <c r="N34" s="34">
        <f>IFERROR('Cash flow N'!F30,0)</f>
        <v>-1</v>
      </c>
      <c r="O34" s="34">
        <f>IFERROR('Cash flow N'!G30,0)</f>
        <v>-4</v>
      </c>
      <c r="P34" s="34">
        <f>IFERROR('Cash flow N'!H30,0)</f>
        <v>-3</v>
      </c>
    </row>
    <row r="35" spans="2:16" x14ac:dyDescent="0.25">
      <c r="B35" s="35" t="s">
        <v>148</v>
      </c>
      <c r="C35" s="36">
        <f>SUM(C27:C34)</f>
        <v>-6819</v>
      </c>
      <c r="D35" s="36">
        <f t="shared" ref="D35:H35" si="5">SUM(D27:D34)</f>
        <v>-9309</v>
      </c>
      <c r="E35" s="36">
        <f t="shared" si="5"/>
        <v>-8015</v>
      </c>
      <c r="F35" s="36">
        <f t="shared" si="5"/>
        <v>-8953</v>
      </c>
      <c r="G35" s="36">
        <f t="shared" si="5"/>
        <v>-10034</v>
      </c>
      <c r="H35" s="36">
        <f t="shared" si="5"/>
        <v>-13101</v>
      </c>
      <c r="I35" s="78"/>
      <c r="J35" s="77"/>
      <c r="K35" s="36">
        <f>SUM(K27:K34)</f>
        <v>-2019</v>
      </c>
      <c r="L35" s="36">
        <f t="shared" ref="L35:P35" si="6">SUM(L27:L34)</f>
        <v>-2123</v>
      </c>
      <c r="M35" s="36">
        <f t="shared" si="6"/>
        <v>-2436</v>
      </c>
      <c r="N35" s="36">
        <f t="shared" si="6"/>
        <v>-3135</v>
      </c>
      <c r="O35" s="36">
        <f t="shared" si="6"/>
        <v>-1847</v>
      </c>
      <c r="P35" s="36">
        <f t="shared" si="6"/>
        <v>-3179</v>
      </c>
    </row>
    <row r="36" spans="2:16" x14ac:dyDescent="0.25">
      <c r="C36" s="38"/>
      <c r="D36" s="38"/>
      <c r="E36" s="38"/>
      <c r="F36" s="38"/>
      <c r="G36" s="38"/>
      <c r="H36" s="38"/>
      <c r="I36" s="76"/>
      <c r="K36" s="38"/>
      <c r="L36" s="38"/>
      <c r="M36" s="38"/>
      <c r="N36" s="38"/>
      <c r="O36" s="38"/>
      <c r="P36" s="38"/>
    </row>
    <row r="37" spans="2:16" x14ac:dyDescent="0.25">
      <c r="B37" s="12" t="s">
        <v>149</v>
      </c>
      <c r="C37" s="38">
        <f>IFERROR(SUM(C35,C25,C14),0)</f>
        <v>3012</v>
      </c>
      <c r="D37" s="38">
        <f>IFERROR(SUM(D35,D25,D14),0)</f>
        <v>-1474</v>
      </c>
      <c r="E37" s="38">
        <f t="shared" ref="E37:H37" si="7">IFERROR(SUM(E35,E25,E14),0)</f>
        <v>-1698</v>
      </c>
      <c r="F37" s="38">
        <f t="shared" si="7"/>
        <v>-1406</v>
      </c>
      <c r="G37" s="38">
        <f t="shared" si="7"/>
        <v>1424</v>
      </c>
      <c r="H37" s="38">
        <f t="shared" si="7"/>
        <v>4470</v>
      </c>
      <c r="I37" s="76"/>
      <c r="K37" s="38">
        <f>IFERROR(SUM(K35,K25,K14),0)</f>
        <v>-1877</v>
      </c>
      <c r="L37" s="38">
        <f t="shared" ref="L37:P37" si="8">IFERROR(SUM(L35,L25,L14),0)</f>
        <v>191</v>
      </c>
      <c r="M37" s="38">
        <f t="shared" si="8"/>
        <v>94</v>
      </c>
      <c r="N37" s="38">
        <f t="shared" si="8"/>
        <v>-448</v>
      </c>
      <c r="O37" s="38">
        <f t="shared" si="8"/>
        <v>-1470</v>
      </c>
      <c r="P37" s="38">
        <f t="shared" si="8"/>
        <v>2037</v>
      </c>
    </row>
    <row r="38" spans="2:16" x14ac:dyDescent="0.25">
      <c r="C38" s="38"/>
      <c r="D38" s="38"/>
      <c r="I38" s="76"/>
    </row>
    <row r="39" spans="2:16" x14ac:dyDescent="0.25">
      <c r="I39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61D-83CE-4C5B-8D6F-24F11CFFFE30}">
  <sheetPr>
    <tabColor theme="7" tint="0.59999389629810485"/>
  </sheetPr>
  <dimension ref="B2:Q36"/>
  <sheetViews>
    <sheetView showGridLines="0" workbookViewId="0">
      <selection activeCell="C35" sqref="C35"/>
    </sheetView>
  </sheetViews>
  <sheetFormatPr defaultRowHeight="15" x14ac:dyDescent="0.25"/>
  <cols>
    <col min="1" max="1" width="1.85546875" customWidth="1"/>
    <col min="2" max="2" width="26.140625" bestFit="1" customWidth="1"/>
    <col min="3" max="3" width="12.140625" bestFit="1" customWidth="1"/>
    <col min="4" max="4" width="9.85546875" customWidth="1"/>
    <col min="5" max="5" width="11.5703125" customWidth="1"/>
    <col min="6" max="6" width="9.5703125" customWidth="1"/>
    <col min="7" max="7" width="10.5703125" customWidth="1"/>
    <col min="8" max="8" width="10.140625" customWidth="1"/>
    <col min="9" max="10" width="1.85546875" customWidth="1"/>
    <col min="11" max="11" width="12.7109375" customWidth="1"/>
    <col min="12" max="12" width="9.140625" customWidth="1"/>
    <col min="13" max="13" width="10.5703125" customWidth="1"/>
    <col min="14" max="14" width="10.28515625" customWidth="1"/>
    <col min="15" max="15" width="10" customWidth="1"/>
    <col min="16" max="16" width="10.42578125" customWidth="1"/>
  </cols>
  <sheetData>
    <row r="2" spans="2:17" x14ac:dyDescent="0.25">
      <c r="B2" s="108" t="str">
        <f>"Ratio Analysis of - "&amp;'Data Sheet1'!B1</f>
        <v>Ratio Analysis of - HINDUSTAN UNILEVER LTD</v>
      </c>
      <c r="C2" s="108"/>
      <c r="D2" s="108"/>
      <c r="E2" s="108"/>
      <c r="F2" s="108"/>
      <c r="G2" s="108"/>
      <c r="H2" s="108"/>
      <c r="I2" s="76"/>
      <c r="K2" s="11"/>
      <c r="L2" s="25" t="str">
        <f>"Ratio Analysis of - "&amp;'Data Sheet2'!B1</f>
        <v>Ratio Analysis of - NESTLE INDIA LTD</v>
      </c>
      <c r="M2" s="11"/>
      <c r="N2" s="11"/>
      <c r="O2" s="11"/>
      <c r="P2" s="11"/>
      <c r="Q2" s="27"/>
    </row>
    <row r="3" spans="2:17" x14ac:dyDescent="0.25">
      <c r="B3" s="24" t="s">
        <v>56</v>
      </c>
      <c r="C3" s="26">
        <f>'Data Sheet1'!F16</f>
        <v>44286</v>
      </c>
      <c r="D3" s="26">
        <f>'Data Sheet1'!G16</f>
        <v>44651</v>
      </c>
      <c r="E3" s="26">
        <f>'Data Sheet1'!H16</f>
        <v>45016</v>
      </c>
      <c r="F3" s="26">
        <f>'Data Sheet1'!I16</f>
        <v>45382</v>
      </c>
      <c r="G3" s="26">
        <f>'Data Sheet1'!J16</f>
        <v>45747</v>
      </c>
      <c r="H3" s="26">
        <f>'Data Sheet1'!K16</f>
        <v>46112</v>
      </c>
      <c r="I3" s="76"/>
      <c r="K3" s="26">
        <f>C3</f>
        <v>44286</v>
      </c>
      <c r="L3" s="26">
        <f t="shared" ref="L3:P3" si="0">D3</f>
        <v>44651</v>
      </c>
      <c r="M3" s="26">
        <f t="shared" si="0"/>
        <v>45016</v>
      </c>
      <c r="N3" s="26">
        <f t="shared" si="0"/>
        <v>45382</v>
      </c>
      <c r="O3" s="26">
        <f t="shared" si="0"/>
        <v>45747</v>
      </c>
      <c r="P3" s="26">
        <f t="shared" si="0"/>
        <v>46112</v>
      </c>
    </row>
    <row r="4" spans="2:17" x14ac:dyDescent="0.25">
      <c r="I4" s="76"/>
    </row>
    <row r="5" spans="2:17" x14ac:dyDescent="0.25">
      <c r="B5" s="12" t="s">
        <v>90</v>
      </c>
      <c r="D5" s="102">
        <f>'Income Statement'!D8</f>
        <v>0.11520796121459553</v>
      </c>
      <c r="E5" s="102">
        <f>'Income Statement'!E8</f>
        <v>0.15509285741524614</v>
      </c>
      <c r="F5" s="102">
        <f>'Income Statement'!F8</f>
        <v>2.1723341036645749E-2</v>
      </c>
      <c r="G5" s="102">
        <f>'Income Statement'!G8</f>
        <v>-9.1766834690448773E-3</v>
      </c>
      <c r="H5" s="102">
        <f>'Income Statement'!H8</f>
        <v>5.1200104356900589E-2</v>
      </c>
      <c r="I5" s="76"/>
      <c r="L5" s="102">
        <f>'Income Statement'!M8</f>
        <v>0.14628790299438488</v>
      </c>
      <c r="M5" s="102">
        <f>'Income Statement'!N8</f>
        <v>0.13193734257523237</v>
      </c>
      <c r="N5" s="102">
        <f>'Income Statement'!O8</f>
        <v>0.27541082174806419</v>
      </c>
      <c r="O5" s="102">
        <f>'Income Statement'!P8</f>
        <v>-0.1718598386727167</v>
      </c>
      <c r="P5" s="102">
        <f>'Income Statement'!Q8</f>
        <v>0.14617880995329058</v>
      </c>
    </row>
    <row r="6" spans="2:17" x14ac:dyDescent="0.25">
      <c r="B6" s="12" t="s">
        <v>96</v>
      </c>
      <c r="D6" s="102">
        <f>'Income Statement'!D19/'Income Statement'!C19-1</f>
        <v>0.10588336487183891</v>
      </c>
      <c r="E6" s="102">
        <f>'Income Statement'!E19/'Income Statement'!D19-1</f>
        <v>0.10033444816053505</v>
      </c>
      <c r="F6" s="102">
        <f>'Income Statement'!F19/'Income Statement'!E19-1</f>
        <v>3.6191418675337594E-2</v>
      </c>
      <c r="G6" s="102">
        <f>'Income Statement'!G19/'Income Statement'!F19-1</f>
        <v>2.660481615389898E-3</v>
      </c>
      <c r="H6" s="102">
        <f>'Income Statement'!H19/'Income Statement'!G19-1</f>
        <v>2.3200435433392341E-2</v>
      </c>
      <c r="I6" s="76"/>
      <c r="L6" s="102">
        <f>'Income Statement'!M19/'Income Statement'!L19-1</f>
        <v>4.0391309229732553E-2</v>
      </c>
      <c r="M6" s="102">
        <f>'Income Statement'!N19/'Income Statement'!M19-1</f>
        <v>0.20632492330605601</v>
      </c>
      <c r="N6" s="102">
        <f>'Income Statement'!O19/'Income Statement'!N19-1</f>
        <v>0.3068962355093614</v>
      </c>
      <c r="O6" s="102">
        <f>'Income Statement'!P19/'Income Statement'!O19-1</f>
        <v>-0.18342768931666631</v>
      </c>
      <c r="P6" s="102">
        <f>'Income Statement'!Q19/'Income Statement'!P19-1</f>
        <v>0.11226010357698968</v>
      </c>
    </row>
    <row r="7" spans="2:17" x14ac:dyDescent="0.25">
      <c r="B7" s="12" t="s">
        <v>91</v>
      </c>
      <c r="D7" s="102">
        <f>IFERROR(('Income Statement'!D28+'Income Statement'!D22)/('Income Statement'!C28+'Income Statement'!C22)-1,0)</f>
        <v>0.11504927975739188</v>
      </c>
      <c r="E7" s="102">
        <f>IFERROR(('Income Statement'!E28+'Income Statement'!E22)/('Income Statement'!D28+'Income Statement'!D22)-1,0)</f>
        <v>0.10572836987931322</v>
      </c>
      <c r="F7" s="102">
        <f>IFERROR(('Income Statement'!F28+'Income Statement'!F22)/('Income Statement'!E28+'Income Statement'!E22)-1,0)</f>
        <v>3.3282090699461975E-2</v>
      </c>
      <c r="G7" s="102">
        <f>IFERROR(('Income Statement'!G28+'Income Statement'!G22)/('Income Statement'!F28+'Income Statement'!F22)-1,0)</f>
        <v>1.4877631481069464E-4</v>
      </c>
      <c r="H7" s="102">
        <f>IFERROR(('Income Statement'!H28+'Income Statement'!H22)/('Income Statement'!G28+'Income Statement'!G22)-1,0)</f>
        <v>1.9412420974339817E-2</v>
      </c>
      <c r="L7" s="102">
        <f>IFERROR(('Income Statement'!M28+'Income Statement'!M22)/('Income Statement'!L28+'Income Statement'!L22)-1,0)</f>
        <v>4.1590727065189181E-2</v>
      </c>
      <c r="M7" s="102">
        <f>IFERROR(('Income Statement'!N28+'Income Statement'!N22)/('Income Statement'!M28+'Income Statement'!M22)-1,0)</f>
        <v>0.22365648688576267</v>
      </c>
      <c r="N7" s="102">
        <f>IFERROR(('Income Statement'!O28+'Income Statement'!O22)/('Income Statement'!N28+'Income Statement'!N22)-1,0)</f>
        <v>0.30511271424613073</v>
      </c>
      <c r="O7" s="102">
        <f>IFERROR(('Income Statement'!P28+'Income Statement'!P22)/('Income Statement'!O28+'Income Statement'!O22)-1,0)</f>
        <v>-0.19789322834227729</v>
      </c>
      <c r="P7" s="102">
        <f>IFERROR(('Income Statement'!Q28+'Income Statement'!Q22)/('Income Statement'!P28+'Income Statement'!P22)-1,0)</f>
        <v>8.8934894042411061E-2</v>
      </c>
    </row>
    <row r="8" spans="2:17" x14ac:dyDescent="0.25">
      <c r="B8" s="12" t="s">
        <v>95</v>
      </c>
      <c r="C8" s="102"/>
      <c r="D8" s="102">
        <f>'Income Statement'!D34/'Income Statement'!C34-1</f>
        <v>0.10780431728190054</v>
      </c>
      <c r="E8" s="102">
        <f>'Income Statement'!E34/'Income Statement'!D34-1</f>
        <v>0.11783696529459231</v>
      </c>
      <c r="F8" s="102">
        <f>'Income Statement'!F34/'Income Statement'!E34-1</f>
        <v>-2.372356884992266E-2</v>
      </c>
      <c r="G8" s="102">
        <f>'Income Statement'!G34/'Income Statement'!F34-1</f>
        <v>-1.5742208135235081E-2</v>
      </c>
      <c r="H8" s="102">
        <f>'Income Statement'!H34/'Income Statement'!G34-1</f>
        <v>8.8020609703735486E-2</v>
      </c>
      <c r="I8" s="76"/>
      <c r="L8" s="102">
        <f>'Income Statement'!M34/'Income Statement'!L34-1</f>
        <v>2.3520815495855496E-2</v>
      </c>
      <c r="M8" s="102">
        <f>'Income Statement'!N34/'Income Statement'!M34-1</f>
        <v>0.26274274502246886</v>
      </c>
      <c r="N8" s="102">
        <f>'Income Statement'!O34/'Income Statement'!N34-1</f>
        <v>0.30892385811450596</v>
      </c>
      <c r="O8" s="102">
        <f>'Income Statement'!P34/'Income Statement'!O34-1</f>
        <v>-0.21500854564966809</v>
      </c>
      <c r="P8" s="102">
        <f>'Income Statement'!Q34/'Income Statement'!P34-1</f>
        <v>0.14242651327959321</v>
      </c>
    </row>
    <row r="9" spans="2:17" x14ac:dyDescent="0.25">
      <c r="B9" s="12" t="s">
        <v>94</v>
      </c>
      <c r="C9" s="102"/>
      <c r="D9" s="102">
        <f>'Income Statement'!D42/'Income Statement'!C42-1</f>
        <v>-0.16049382716049365</v>
      </c>
      <c r="E9" s="102">
        <f>'Income Statement'!E42/'Income Statement'!D42-1</f>
        <v>0.14705882352941169</v>
      </c>
      <c r="F9" s="102">
        <f>'Income Statement'!F42/'Income Statement'!E42-1</f>
        <v>7.6923076923076872E-2</v>
      </c>
      <c r="G9" s="102">
        <f>'Income Statement'!G42/'Income Statement'!F42-1</f>
        <v>0.26190476190476186</v>
      </c>
      <c r="H9" s="102">
        <f>'Income Statement'!H42/'Income Statement'!G42-1</f>
        <v>-0.2264150943396227</v>
      </c>
      <c r="I9" s="76"/>
      <c r="L9" s="102">
        <f>'Income Statement'!M42/'Income Statement'!L42-1</f>
        <v>9.9999999999999867E-2</v>
      </c>
      <c r="M9" s="102">
        <f>'Income Statement'!N42/'Income Statement'!M42-1</f>
        <v>-0.20908996624615794</v>
      </c>
      <c r="N9" s="102">
        <f>'Income Statement'!O42/'Income Statement'!N42-1</f>
        <v>0.85028221538545989</v>
      </c>
      <c r="O9" s="102">
        <f>'Income Statement'!P42/'Income Statement'!O42-1</f>
        <v>-0.16148960292715597</v>
      </c>
      <c r="P9" s="102">
        <f>'Income Statement'!Q42/'Income Statement'!P42-1</f>
        <v>-0.11115720574339116</v>
      </c>
    </row>
    <row r="10" spans="2:17" x14ac:dyDescent="0.25">
      <c r="B10" s="12"/>
      <c r="C10" s="102"/>
      <c r="D10" s="102"/>
      <c r="I10" s="76"/>
    </row>
    <row r="11" spans="2:17" x14ac:dyDescent="0.25">
      <c r="B11" s="12" t="s">
        <v>86</v>
      </c>
      <c r="C11" s="102">
        <f>'Income Statement'!C14</f>
        <v>0.46200136089138388</v>
      </c>
      <c r="D11" s="102">
        <f>'Income Statement'!D14</f>
        <v>0.44579186210578498</v>
      </c>
      <c r="E11" s="102">
        <f>'Income Statement'!E14</f>
        <v>0.41596236381644108</v>
      </c>
      <c r="F11" s="102">
        <f>'Income Statement'!F14</f>
        <v>0.45632997285769678</v>
      </c>
      <c r="G11" s="102">
        <f>'Income Statement'!G14</f>
        <v>0.45344703887294546</v>
      </c>
      <c r="H11" s="102">
        <f>'Income Statement'!H14</f>
        <v>0.44726065644971147</v>
      </c>
      <c r="I11" s="76"/>
      <c r="K11" s="102">
        <f>'Income Statement'!L14</f>
        <v>0.4219261237168932</v>
      </c>
      <c r="L11" s="102">
        <f>'Income Statement'!M14</f>
        <v>0.3950568622994905</v>
      </c>
      <c r="M11" s="102">
        <f>'Income Statement'!N14</f>
        <v>0.46242137789326737</v>
      </c>
      <c r="N11" s="102">
        <f>'Income Statement'!O14</f>
        <v>0.42191589779243904</v>
      </c>
      <c r="O11" s="102">
        <f>'Income Statement'!P14</f>
        <v>0.42119024471377459</v>
      </c>
      <c r="P11" s="102">
        <f>'Income Statement'!Q14</f>
        <v>0.41144999265804633</v>
      </c>
    </row>
    <row r="12" spans="2:17" x14ac:dyDescent="0.25">
      <c r="B12" s="12" t="s">
        <v>87</v>
      </c>
      <c r="C12" s="102">
        <f>'Income Statement'!C20</f>
        <v>0.24721442544866887</v>
      </c>
      <c r="D12" s="102">
        <f>'Income Statement'!D20</f>
        <v>0.24514738969606834</v>
      </c>
      <c r="E12" s="102">
        <f>'Income Statement'!E20</f>
        <v>0.23352591614394189</v>
      </c>
      <c r="F12" s="102">
        <f>'Income Statement'!F20</f>
        <v>0.23683275171255008</v>
      </c>
      <c r="G12" s="102">
        <f>'Income Statement'!G20</f>
        <v>0.23966214453430734</v>
      </c>
      <c r="H12" s="102">
        <f>'Income Statement'!H20</f>
        <v>0.23327852578023206</v>
      </c>
      <c r="I12" s="76"/>
      <c r="K12" s="102">
        <f>'Income Statement'!L20</f>
        <v>0.24167282313665861</v>
      </c>
      <c r="L12" s="102">
        <f>'Income Statement'!M20</f>
        <v>0.21934655701380593</v>
      </c>
      <c r="M12" s="102">
        <f>'Income Statement'!N20</f>
        <v>0.23376136524053268</v>
      </c>
      <c r="N12" s="102">
        <f>'Income Statement'!O20</f>
        <v>0.23953211234452562</v>
      </c>
      <c r="O12" s="102">
        <f>'Income Statement'!P20</f>
        <v>0.23618621532198505</v>
      </c>
      <c r="P12" s="102">
        <f>'Income Statement'!Q20</f>
        <v>0.22919679027061576</v>
      </c>
    </row>
    <row r="13" spans="2:17" x14ac:dyDescent="0.25">
      <c r="B13" s="12" t="s">
        <v>97</v>
      </c>
      <c r="C13" s="102">
        <f>'Income Statement'!C29</f>
        <v>0.22188908735221571</v>
      </c>
      <c r="D13" s="102">
        <f>'Income Statement'!D29</f>
        <v>0.22232391412119132</v>
      </c>
      <c r="E13" s="102">
        <f>'Income Statement'!E29</f>
        <v>0.21287553648068669</v>
      </c>
      <c r="F13" s="102">
        <f>'Income Statement'!F29</f>
        <v>0.2117907457670932</v>
      </c>
      <c r="G13" s="102">
        <f>'Income Statement'!G29</f>
        <v>0.21301852334985652</v>
      </c>
      <c r="H13" s="102">
        <f>'Income Statement'!H29</f>
        <v>0.20624185642489298</v>
      </c>
      <c r="I13" s="76"/>
      <c r="K13" s="102">
        <f>'Income Statement'!L29</f>
        <v>0.20146412049992565</v>
      </c>
      <c r="L13" s="102">
        <f>'Income Statement'!M29</f>
        <v>0.18634772172035671</v>
      </c>
      <c r="M13" s="102">
        <f>'Income Statement'!N29</f>
        <v>0.20509926122668787</v>
      </c>
      <c r="N13" s="102">
        <f>'Income Statement'!O29</f>
        <v>0.21029364320327756</v>
      </c>
      <c r="O13" s="102">
        <f>'Income Statement'!P29</f>
        <v>0.20272741313047113</v>
      </c>
      <c r="P13" s="102">
        <f>'Income Statement'!Q29</f>
        <v>0.19216138477883443</v>
      </c>
    </row>
    <row r="14" spans="2:17" x14ac:dyDescent="0.25">
      <c r="B14" s="12" t="s">
        <v>98</v>
      </c>
      <c r="C14" s="102">
        <f>'Income Statement'!C35</f>
        <v>0.16647529131581185</v>
      </c>
      <c r="D14" s="102">
        <f>'Income Statement'!D35</f>
        <v>0.16537009495481067</v>
      </c>
      <c r="E14" s="102">
        <f>'Income Statement'!E35</f>
        <v>0.16003631561571477</v>
      </c>
      <c r="F14" s="102">
        <f>'Income Statement'!F35</f>
        <v>0.15291779759596744</v>
      </c>
      <c r="G14" s="102">
        <f>'Income Statement'!G35</f>
        <v>0.15190451343595096</v>
      </c>
      <c r="H14" s="102">
        <f>'Income Statement'!H35</f>
        <v>0.15722529006638952</v>
      </c>
      <c r="I14" s="76"/>
      <c r="K14" s="102">
        <f>'Income Statement'!L35</f>
        <v>0.15133654758730819</v>
      </c>
      <c r="L14" s="102">
        <f>'Income Statement'!M35</f>
        <v>0.13512844914114719</v>
      </c>
      <c r="M14" s="102">
        <f>'Income Statement'!N35</f>
        <v>0.15074374029477736</v>
      </c>
      <c r="N14" s="102">
        <f>'Income Statement'!O35</f>
        <v>0.1547047231909302</v>
      </c>
      <c r="O14" s="102">
        <f>'Income Statement'!P35</f>
        <v>0.14664412055306622</v>
      </c>
      <c r="P14" s="102">
        <f>'Income Statement'!Q35</f>
        <v>0.14616404515733372</v>
      </c>
    </row>
    <row r="15" spans="2:17" x14ac:dyDescent="0.25">
      <c r="B15" s="12"/>
      <c r="C15" s="102"/>
      <c r="D15" s="102"/>
      <c r="I15" s="76"/>
    </row>
    <row r="16" spans="2:17" x14ac:dyDescent="0.25">
      <c r="B16" s="12" t="s">
        <v>89</v>
      </c>
      <c r="C16" s="102">
        <f>'Income Statement'!C17</f>
        <v>0.21478693544271499</v>
      </c>
      <c r="D16" s="102">
        <f>'Income Statement'!D17</f>
        <v>0.20064447240971667</v>
      </c>
      <c r="E16" s="102">
        <f>'Income Statement'!E17</f>
        <v>0.18243644767249917</v>
      </c>
      <c r="F16" s="102">
        <f>'Income Statement'!F17</f>
        <v>0.21949722114514669</v>
      </c>
      <c r="G16" s="102">
        <f>'Income Statement'!G17</f>
        <v>0.21378489433863815</v>
      </c>
      <c r="H16" s="102">
        <f>'Income Statement'!H17</f>
        <v>0.21398213066947944</v>
      </c>
      <c r="I16" s="76"/>
      <c r="K16" s="102">
        <f>'Income Statement'!L17</f>
        <v>0.18025330058023456</v>
      </c>
      <c r="L16" s="102">
        <f>'Income Statement'!M17</f>
        <v>0.17571030528568454</v>
      </c>
      <c r="M16" s="102">
        <f>'Income Statement'!N17</f>
        <v>0.22866001265273472</v>
      </c>
      <c r="N16" s="102">
        <f>'Income Statement'!O17</f>
        <v>0.18238378544791339</v>
      </c>
      <c r="O16" s="102">
        <f>'Income Statement'!P17</f>
        <v>0.18500402939178953</v>
      </c>
      <c r="P16" s="102">
        <f>'Income Statement'!Q17</f>
        <v>0.18225320238743059</v>
      </c>
    </row>
    <row r="17" spans="2:16" x14ac:dyDescent="0.25">
      <c r="B17" s="12" t="s">
        <v>68</v>
      </c>
      <c r="C17" s="102">
        <f>'Income Statement'!C26</f>
        <v>2.2837458535340648E-2</v>
      </c>
      <c r="D17" s="102">
        <f>'Income Statement'!D26</f>
        <v>2.0802349082866187E-2</v>
      </c>
      <c r="E17" s="102">
        <f>'Income Statement'!E26</f>
        <v>1.8768570485308684E-2</v>
      </c>
      <c r="F17" s="102">
        <f>'Income Statement'!F26</f>
        <v>1.9645857567532635E-2</v>
      </c>
      <c r="G17" s="102">
        <f>'Income Statement'!G26</f>
        <v>2.0431124445603965E-2</v>
      </c>
      <c r="H17" s="102">
        <f>'Income Statement'!H26</f>
        <v>2.0676924986039586E-2</v>
      </c>
      <c r="I17" s="76"/>
      <c r="K17" s="102">
        <f>'Income Statement'!L26</f>
        <v>2.6526753678109218E-2</v>
      </c>
      <c r="L17" s="102">
        <f>'Income Statement'!M26</f>
        <v>2.3851035925989056E-2</v>
      </c>
      <c r="M17" s="102">
        <f>'Income Statement'!N26</f>
        <v>2.2425142343265557E-2</v>
      </c>
      <c r="N17" s="102">
        <f>'Income Statement'!O26</f>
        <v>2.3274270729268683E-2</v>
      </c>
      <c r="O17" s="102">
        <f>'Income Statement'!P26</f>
        <v>2.6726648833060414E-2</v>
      </c>
      <c r="P17" s="102">
        <f>'Income Statement'!Q26</f>
        <v>3.0198319124493625E-2</v>
      </c>
    </row>
    <row r="18" spans="2:16" x14ac:dyDescent="0.25">
      <c r="B18" s="12" t="s">
        <v>88</v>
      </c>
      <c r="C18" s="102">
        <f>C12</f>
        <v>0.24721442544866887</v>
      </c>
      <c r="D18" s="102">
        <f t="shared" ref="D18:H18" si="1">D12</f>
        <v>0.24514738969606834</v>
      </c>
      <c r="E18" s="102">
        <f t="shared" si="1"/>
        <v>0.23352591614394189</v>
      </c>
      <c r="F18" s="102">
        <f t="shared" si="1"/>
        <v>0.23683275171255008</v>
      </c>
      <c r="G18" s="102">
        <f t="shared" si="1"/>
        <v>0.23966214453430734</v>
      </c>
      <c r="H18" s="102">
        <f t="shared" si="1"/>
        <v>0.23327852578023206</v>
      </c>
      <c r="I18" s="76"/>
      <c r="K18" s="102">
        <f>K12</f>
        <v>0.24167282313665861</v>
      </c>
      <c r="L18" s="102">
        <f t="shared" ref="L18:P18" si="2">L12</f>
        <v>0.21934655701380593</v>
      </c>
      <c r="M18" s="102">
        <f t="shared" si="2"/>
        <v>0.23376136524053268</v>
      </c>
      <c r="N18" s="102">
        <f t="shared" si="2"/>
        <v>0.23953211234452562</v>
      </c>
      <c r="O18" s="102">
        <f t="shared" si="2"/>
        <v>0.23618621532198505</v>
      </c>
      <c r="P18" s="102">
        <f t="shared" si="2"/>
        <v>0.22919679027061576</v>
      </c>
    </row>
    <row r="19" spans="2:16" x14ac:dyDescent="0.25">
      <c r="B19" s="12"/>
      <c r="C19" s="102"/>
      <c r="D19" s="102"/>
      <c r="I19" s="76"/>
    </row>
    <row r="20" spans="2:16" x14ac:dyDescent="0.25">
      <c r="B20" s="12" t="s">
        <v>106</v>
      </c>
      <c r="C20" s="102">
        <f>IFERROR(('Income Statement'!C19-'Income Statement'!C25)/SUM('Balance Sheet'!C5:C7),0)</f>
        <v>0.22133657758946176</v>
      </c>
      <c r="D20" s="102">
        <f>IFERROR(('Income Statement'!D19-'Income Statement'!D25)/SUM('Balance Sheet'!D5:D7),0)</f>
        <v>0.23483155037521955</v>
      </c>
      <c r="E20" s="102">
        <f>IFERROR(('Income Statement'!E19-'Income Statement'!E25)/SUM('Balance Sheet'!E5:E7),0)</f>
        <v>0.25250858839741475</v>
      </c>
      <c r="F20" s="102">
        <f>IFERROR(('Income Statement'!F19-'Income Statement'!F25)/SUM('Balance Sheet'!F5:F7),0)</f>
        <v>0.25507570870175705</v>
      </c>
      <c r="G20" s="102">
        <f>IFERROR(('Income Statement'!G19-'Income Statement'!G25)/SUM('Balance Sheet'!G5:G7),0)</f>
        <v>0.26336924583741428</v>
      </c>
      <c r="H20" s="102">
        <f>IFERROR(('Income Statement'!H19-'Income Statement'!H25)/SUM('Balance Sheet'!H5:H7),0)</f>
        <v>0.27293546010315234</v>
      </c>
      <c r="I20" s="105"/>
      <c r="J20" s="102"/>
      <c r="K20" s="102">
        <f>IFERROR(('Income Statement'!L19-'Income Statement'!L25)/SUM('Balance Sheet'!K5:K7),0)</f>
        <v>1.4331718515572742</v>
      </c>
      <c r="L20" s="102">
        <f>IFERROR(('Income Statement'!M19-'Income Statement'!M25)/SUM('Balance Sheet'!L5:L7),0)</f>
        <v>1.2101300880319736</v>
      </c>
      <c r="M20" s="102">
        <f>IFERROR(('Income Statement'!N19-'Income Statement'!N25)/SUM('Balance Sheet'!M5:M7),0)</f>
        <v>1.4807835321959635</v>
      </c>
      <c r="N20" s="102">
        <f>IFERROR(('Income Statement'!O19-'Income Statement'!O25)/SUM('Balance Sheet'!N5:N7),0)</f>
        <v>1.4314162293578478</v>
      </c>
      <c r="O20" s="102">
        <f>IFERROR(('Income Statement'!P19-'Income Statement'!P25)/SUM('Balance Sheet'!O5:O7),0)</f>
        <v>0.80079674489023478</v>
      </c>
      <c r="P20" s="102">
        <f>IFERROR(('Income Statement'!Q19-'Income Statement'!Q25)/SUM('Balance Sheet'!P5:P7),0)</f>
        <v>0.80087078944624046</v>
      </c>
    </row>
    <row r="21" spans="2:16" x14ac:dyDescent="0.25">
      <c r="B21" s="12" t="s">
        <v>93</v>
      </c>
      <c r="C21" s="102">
        <f>'Income Statement'!C45</f>
        <v>0</v>
      </c>
      <c r="D21" s="102">
        <f>'Income Statement'!D45</f>
        <v>7.8750144125446675E-2</v>
      </c>
      <c r="E21" s="102">
        <f>'Income Statement'!E45</f>
        <v>5.4667354306343507E-2</v>
      </c>
      <c r="F21" s="102">
        <f>'Income Statement'!F45</f>
        <v>0</v>
      </c>
      <c r="G21" s="102">
        <f>'Income Statement'!G45</f>
        <v>0</v>
      </c>
      <c r="H21" s="102">
        <f>'Income Statement'!H45</f>
        <v>4.9427782162588807E-2</v>
      </c>
      <c r="I21" s="76"/>
      <c r="K21" s="102">
        <f>'Income Statement'!L45</f>
        <v>0.13555287588701725</v>
      </c>
      <c r="L21" s="102">
        <f>'Income Statement'!M45</f>
        <v>7.0959943239052303E-2</v>
      </c>
      <c r="M21" s="102">
        <f>'Income Statement'!N45</f>
        <v>0.41810229712434577</v>
      </c>
      <c r="N21" s="102">
        <f>'Income Statement'!O45</f>
        <v>0.17730699418365881</v>
      </c>
      <c r="O21" s="102">
        <f>'Income Statement'!P45</f>
        <v>0.12121764491432752</v>
      </c>
      <c r="P21" s="102">
        <f>'Income Statement'!Q45</f>
        <v>0.31628043033119879</v>
      </c>
    </row>
    <row r="22" spans="2:16" x14ac:dyDescent="0.25">
      <c r="B22" s="12" t="s">
        <v>105</v>
      </c>
      <c r="C22" s="102">
        <f>IFERROR('Income Statement'!C34/SUM('Balance Sheet'!C5:C6),0)</f>
        <v>0.16421949070772329</v>
      </c>
      <c r="D22" s="102">
        <f>IFERROR('Income Statement'!D34/SUM('Balance Sheet'!D5:D6),0)</f>
        <v>0.1767799270296162</v>
      </c>
      <c r="E22" s="102">
        <f>IFERROR('Income Statement'!E34/SUM('Balance Sheet'!E5:E6),0)</f>
        <v>0.19272821246819338</v>
      </c>
      <c r="F22" s="102">
        <f>IFERROR('Income Statement'!F34/SUM('Balance Sheet'!F5:F6),0)</f>
        <v>0.18479831309305322</v>
      </c>
      <c r="G22" s="102">
        <f>IFERROR('Income Statement'!G34/SUM('Balance Sheet'!G5:G6),0)</f>
        <v>0.18857536132140398</v>
      </c>
      <c r="H22" s="102">
        <f>IFERROR('Income Statement'!H34/SUM('Balance Sheet'!H5:H6),0)</f>
        <v>0.20796487412544368</v>
      </c>
      <c r="I22" s="76"/>
      <c r="K22" s="102">
        <f>IFERROR('Income Statement'!L34/SUM('Balance Sheet'!K5:K6),0)</f>
        <v>1.1461225454433352</v>
      </c>
      <c r="L22" s="102">
        <f>IFERROR('Income Statement'!M34/SUM('Balance Sheet'!L5:L6),0)</f>
        <v>0.92846773504881663</v>
      </c>
      <c r="M22" s="102">
        <f>IFERROR('Income Statement'!N34/SUM('Balance Sheet'!M5:M6),0)</f>
        <v>1.1724158964203368</v>
      </c>
      <c r="N22" s="102">
        <f>IFERROR('Income Statement'!O34/SUM('Balance Sheet'!N5:N6),0)</f>
        <v>1.1295942099260976</v>
      </c>
      <c r="O22" s="102">
        <f>IFERROR('Income Statement'!P34/SUM('Balance Sheet'!O5:O6),0)</f>
        <v>0.71953657262912474</v>
      </c>
      <c r="P22" s="102">
        <f>IFERROR('Income Statement'!Q34/SUM('Balance Sheet'!P5:P6),0)</f>
        <v>0.6374490510882912</v>
      </c>
    </row>
    <row r="23" spans="2:16" x14ac:dyDescent="0.25">
      <c r="B23" s="12" t="s">
        <v>92</v>
      </c>
      <c r="C23" s="102">
        <f>C22*C21</f>
        <v>0</v>
      </c>
      <c r="D23" s="102">
        <f t="shared" ref="D23:H23" si="3">D22*D21</f>
        <v>1.3921444732068222E-2</v>
      </c>
      <c r="E23" s="102">
        <f t="shared" si="3"/>
        <v>1.0535941475826979E-2</v>
      </c>
      <c r="F23" s="102">
        <f t="shared" si="3"/>
        <v>0</v>
      </c>
      <c r="G23" s="102">
        <f t="shared" si="3"/>
        <v>0</v>
      </c>
      <c r="H23" s="102">
        <f t="shared" si="3"/>
        <v>1.0279242495742632E-2</v>
      </c>
      <c r="I23" s="76"/>
      <c r="K23" s="102">
        <f>K22*K21</f>
        <v>0.15536020715379273</v>
      </c>
      <c r="L23" s="102">
        <f t="shared" ref="L23:P23" si="4">L22*L21</f>
        <v>6.588401777835548E-2</v>
      </c>
      <c r="M23" s="102">
        <f t="shared" si="4"/>
        <v>0.49018977947844189</v>
      </c>
      <c r="N23" s="102">
        <f t="shared" si="4"/>
        <v>0.20028495400926125</v>
      </c>
      <c r="O23" s="102">
        <f t="shared" si="4"/>
        <v>8.7220528763829477E-2</v>
      </c>
      <c r="P23" s="102">
        <f t="shared" si="4"/>
        <v>0.20161266019241905</v>
      </c>
    </row>
    <row r="24" spans="2:16" x14ac:dyDescent="0.25">
      <c r="B24" s="12" t="s">
        <v>99</v>
      </c>
      <c r="C24" s="104">
        <f>('Income Statement'!C19-'Income Statement'!C25)/'Income Statement'!C22</f>
        <v>90.188034188034194</v>
      </c>
      <c r="D24" s="104">
        <f>('Income Statement'!D19-'Income Statement'!D25)/'Income Statement'!D22</f>
        <v>111</v>
      </c>
      <c r="E24" s="104">
        <f>('Income Statement'!E19-'Income Statement'!E25)/'Income Statement'!E22</f>
        <v>114.12280701754386</v>
      </c>
      <c r="F24" s="104">
        <f>('Income Statement'!F19-'Income Statement'!F25)/'Income Statement'!F22</f>
        <v>40.248502994011979</v>
      </c>
      <c r="G24" s="104">
        <f>('Income Statement'!G19-'Income Statement'!G25)/'Income Statement'!G22</f>
        <v>35.288713910761153</v>
      </c>
      <c r="H24" s="104">
        <f>('Income Statement'!H19-'Income Statement'!H25)/'Income Statement'!H22</f>
        <v>33.429268292682927</v>
      </c>
      <c r="I24" s="76"/>
      <c r="K24" s="104">
        <f>('Income Statement'!L19-'Income Statement'!L25)/'Income Statement'!L22</f>
        <v>15.72481158270527</v>
      </c>
      <c r="L24" s="104">
        <f>('Income Statement'!M19-'Income Statement'!M25)/'Income Statement'!M22</f>
        <v>21.370770524681362</v>
      </c>
      <c r="M24" s="104">
        <f>('Income Statement'!N19-'Income Statement'!N25)/'Income Statement'!N22</f>
        <v>33.884483192220635</v>
      </c>
      <c r="N24" s="104">
        <f>('Income Statement'!O19-'Income Statement'!O25)/'Income Statement'!O22</f>
        <v>36.259330538181317</v>
      </c>
      <c r="O24" s="104">
        <f>('Income Statement'!P19-'Income Statement'!P25)/'Income Statement'!P22</f>
        <v>31.113308823529419</v>
      </c>
      <c r="P24" s="104">
        <f>('Income Statement'!Q19-'Income Statement'!Q25)/'Income Statement'!Q22</f>
        <v>29.105741898806137</v>
      </c>
    </row>
    <row r="25" spans="2:16" x14ac:dyDescent="0.25">
      <c r="B25" s="12"/>
      <c r="C25" s="102"/>
      <c r="D25" s="102"/>
      <c r="I25" s="76"/>
    </row>
    <row r="26" spans="2:16" x14ac:dyDescent="0.25">
      <c r="B26" s="12" t="s">
        <v>100</v>
      </c>
      <c r="C26" s="104">
        <f>'Income Statement'!C7/'Balance Sheet'!C17</f>
        <v>26.750853242320819</v>
      </c>
      <c r="D26" s="104">
        <f>'Income Statement'!D7/'Balance Sheet'!D17</f>
        <v>23.455277280858677</v>
      </c>
      <c r="E26" s="104">
        <f>'Income Statement'!E7/'Balance Sheet'!E17</f>
        <v>19.67521922702176</v>
      </c>
      <c r="F26" s="104">
        <f>'Income Statement'!F7/'Balance Sheet'!F17</f>
        <v>20.652652652652652</v>
      </c>
      <c r="G26" s="104">
        <f>'Income Statement'!G7/'Balance Sheet'!G17</f>
        <v>16.058654097931395</v>
      </c>
      <c r="H26" s="104">
        <f>'Income Statement'!H7/'Balance Sheet'!H17</f>
        <v>19.079017460787217</v>
      </c>
      <c r="I26" s="76"/>
      <c r="K26" s="104">
        <f>'Income Statement'!L7/'Balance Sheet'!K17</f>
        <v>88.814785804663501</v>
      </c>
      <c r="L26" s="104">
        <f>'Income Statement'!M7/'Balance Sheet'!L17</f>
        <v>88.055448433998649</v>
      </c>
      <c r="M26" s="104">
        <f>'Income Statement'!N7/'Balance Sheet'!M17</f>
        <v>99.673250299650846</v>
      </c>
      <c r="N26" s="104">
        <f>'Income Statement'!O7/'Balance Sheet'!N17</f>
        <v>81.188477667576393</v>
      </c>
      <c r="O26" s="104">
        <f>'Income Statement'!P7/'Balance Sheet'!O17</f>
        <v>55.628693377392267</v>
      </c>
      <c r="P26" s="104">
        <f>'Income Statement'!Q7/'Balance Sheet'!P17</f>
        <v>70.278325795975348</v>
      </c>
    </row>
    <row r="27" spans="2:16" x14ac:dyDescent="0.25">
      <c r="B27" s="12" t="s">
        <v>103</v>
      </c>
      <c r="C27" s="104">
        <f>'Income Statement'!C7/'Balance Sheet'!C8</f>
        <v>2.2324124181144973</v>
      </c>
      <c r="D27" s="104">
        <f>'Income Statement'!D7/'Balance Sheet'!D8</f>
        <v>2.5706303303597688</v>
      </c>
      <c r="E27" s="104">
        <f>'Income Statement'!E7/'Balance Sheet'!E8</f>
        <v>2.8106151990349817</v>
      </c>
      <c r="F27" s="104">
        <f>'Income Statement'!F7/'Balance Sheet'!F8</f>
        <v>2.4002792104548805</v>
      </c>
      <c r="G27" s="104">
        <f>'Income Statement'!G7/'Balance Sheet'!G8</f>
        <v>2.1284836705653696</v>
      </c>
      <c r="H27" s="104">
        <f>'Income Statement'!H7/'Balance Sheet'!H8</f>
        <v>2.1838013617424883</v>
      </c>
      <c r="I27" s="76"/>
      <c r="K27" s="104">
        <f>'Income Statement'!L7/'Balance Sheet'!K8</f>
        <v>2.4480784018042647</v>
      </c>
      <c r="L27" s="104">
        <f>'Income Statement'!M7/'Balance Sheet'!L8</f>
        <v>2.7039245965386738</v>
      </c>
      <c r="M27" s="104">
        <f>'Income Statement'!N7/'Balance Sheet'!M8</f>
        <v>3.0606732223297941</v>
      </c>
      <c r="N27" s="104">
        <f>'Income Statement'!O7/'Balance Sheet'!N8</f>
        <v>3.5675891096928178</v>
      </c>
      <c r="O27" s="104">
        <f>'Income Statement'!P7/'Balance Sheet'!O8</f>
        <v>2.8695846099868039</v>
      </c>
      <c r="P27" s="104">
        <f>'Income Statement'!Q7/'Balance Sheet'!P8</f>
        <v>3.0451473413846024</v>
      </c>
    </row>
    <row r="28" spans="2:16" x14ac:dyDescent="0.25">
      <c r="B28" s="12" t="s">
        <v>101</v>
      </c>
      <c r="C28" s="104">
        <f>'Income Statement'!C7/'Balance Sheet'!C18</f>
        <v>13.139983235540655</v>
      </c>
      <c r="D28" s="104">
        <f>'Income Statement'!D7/'Balance Sheet'!D18</f>
        <v>12.80419921875</v>
      </c>
      <c r="E28" s="104">
        <f>'Income Statement'!E7/'Balance Sheet'!E18</f>
        <v>14.250764525993883</v>
      </c>
      <c r="F28" s="104">
        <f>'Income Statement'!F7/'Balance Sheet'!F18</f>
        <v>15.389358528095475</v>
      </c>
      <c r="G28" s="104">
        <f>'Income Statement'!G7/'Balance Sheet'!G18</f>
        <v>13.890826727066818</v>
      </c>
      <c r="H28" s="104">
        <f>'Income Statement'!H7/'Balance Sheet'!H18</f>
        <v>13.461683023595739</v>
      </c>
      <c r="I28" s="76"/>
      <c r="K28" s="104">
        <f>'Income Statement'!L7/'Balance Sheet'!K18</f>
        <v>9.2553856779581203</v>
      </c>
      <c r="L28" s="104">
        <f>'Income Statement'!M7/'Balance Sheet'!L18</f>
        <v>8.760484661208956</v>
      </c>
      <c r="M28" s="104">
        <f>'Income Statement'!N7/'Balance Sheet'!M18</f>
        <v>9.9163197270799515</v>
      </c>
      <c r="N28" s="104">
        <f>'Income Statement'!O7/'Balance Sheet'!N18</f>
        <v>11.67529291266225</v>
      </c>
      <c r="O28" s="104">
        <f>'Income Statement'!P7/'Balance Sheet'!O18</f>
        <v>7.0879184882146147</v>
      </c>
      <c r="P28" s="104">
        <f>'Income Statement'!Q7/'Balance Sheet'!P18</f>
        <v>9.0123072372159641</v>
      </c>
    </row>
    <row r="29" spans="2:16" x14ac:dyDescent="0.25">
      <c r="B29" s="12" t="s">
        <v>102</v>
      </c>
      <c r="C29" s="104">
        <f>'Income Statement'!C7/'Balance Sheet'!C11</f>
        <v>0.91417685593763975</v>
      </c>
      <c r="D29" s="104">
        <f>'Income Statement'!D7/'Balance Sheet'!D11</f>
        <v>1.018903114254075</v>
      </c>
      <c r="E29" s="104">
        <f>'Income Statement'!E7/'Balance Sheet'!E11</f>
        <v>1.1500056949770303</v>
      </c>
      <c r="F29" s="104">
        <f>'Income Statement'!F7/'Balance Sheet'!F11</f>
        <v>1.1516820482286394</v>
      </c>
      <c r="G29" s="104">
        <f>'Income Statement'!G7/'Balance Sheet'!G11</f>
        <v>1.1287015735713628</v>
      </c>
      <c r="H29" s="104">
        <f>'Income Statement'!H7/'Balance Sheet'!H11</f>
        <v>1.1225882844605419</v>
      </c>
      <c r="I29" s="76"/>
      <c r="K29" s="104">
        <f>'Income Statement'!L7/'Balance Sheet'!K11</f>
        <v>4.9222752423472365</v>
      </c>
      <c r="L29" s="104">
        <f>'Income Statement'!M7/'Balance Sheet'!L11</f>
        <v>5.551453822650064</v>
      </c>
      <c r="M29" s="104">
        <f>'Income Statement'!N7/'Balance Sheet'!M11</f>
        <v>6.2838978874396298</v>
      </c>
      <c r="N29" s="104">
        <f>'Income Statement'!O7/'Balance Sheet'!N11</f>
        <v>7.0497478505888305</v>
      </c>
      <c r="O29" s="104">
        <f>'Income Statement'!P7/'Balance Sheet'!O11</f>
        <v>3.6907196530260653</v>
      </c>
      <c r="P29" s="104">
        <f>'Income Statement'!Q7/'Balance Sheet'!P11</f>
        <v>3.6809306850734926</v>
      </c>
    </row>
    <row r="30" spans="2:16" x14ac:dyDescent="0.25">
      <c r="B30" s="12" t="s">
        <v>104</v>
      </c>
      <c r="C30" s="104">
        <f>'Income Statement'!C7/SUM('Balance Sheet'!C5:C6)</f>
        <v>0.98644963711876499</v>
      </c>
      <c r="D30" s="104">
        <f>'Income Statement'!D7/SUM('Balance Sheet'!D5:D6)</f>
        <v>1.0689957399971464</v>
      </c>
      <c r="E30" s="104">
        <f>'Income Statement'!E7/SUM('Balance Sheet'!E5:E6)</f>
        <v>1.2042779898218829</v>
      </c>
      <c r="F30" s="104">
        <f>'Income Statement'!F7/SUM('Balance Sheet'!F5:F6)</f>
        <v>1.2084813932601819</v>
      </c>
      <c r="G30" s="104">
        <f>'Income Statement'!G7/SUM('Balance Sheet'!G5:G6)</f>
        <v>1.2414072304764989</v>
      </c>
      <c r="H30" s="104">
        <f>'Income Statement'!H7/SUM('Balance Sheet'!H5:H6)</f>
        <v>1.3227189724860995</v>
      </c>
      <c r="I30" s="76"/>
      <c r="K30" s="104">
        <f>'Income Statement'!L7/SUM('Balance Sheet'!K5:K6)</f>
        <v>7.5733361419661112</v>
      </c>
      <c r="L30" s="104">
        <f>'Income Statement'!M7/SUM('Balance Sheet'!L5:L6)</f>
        <v>6.8710011914589062</v>
      </c>
      <c r="M30" s="104">
        <f>'Income Statement'!N7/SUM('Balance Sheet'!M5:M6)</f>
        <v>7.7775428294912503</v>
      </c>
      <c r="N30" s="104">
        <f>'Income Statement'!O7/SUM('Balance Sheet'!N5:N6)</f>
        <v>7.3016142405167486</v>
      </c>
      <c r="O30" s="104">
        <f>'Income Statement'!P7/SUM('Balance Sheet'!O5:O6)</f>
        <v>4.9066854498864512</v>
      </c>
      <c r="P30" s="104">
        <f>'Income Statement'!Q7/SUM('Balance Sheet'!P5:P6)</f>
        <v>4.3611891720848934</v>
      </c>
    </row>
    <row r="31" spans="2:16" x14ac:dyDescent="0.25">
      <c r="C31" s="102"/>
      <c r="D31" s="102"/>
      <c r="I31" s="103"/>
    </row>
    <row r="32" spans="2:16" x14ac:dyDescent="0.25">
      <c r="C32" s="102"/>
      <c r="D32" s="102"/>
    </row>
    <row r="33" spans="3:4" x14ac:dyDescent="0.25">
      <c r="C33" s="102"/>
      <c r="D33" s="102"/>
    </row>
    <row r="34" spans="3:4" x14ac:dyDescent="0.25">
      <c r="C34" s="102"/>
      <c r="D34" s="102"/>
    </row>
    <row r="35" spans="3:4" x14ac:dyDescent="0.25">
      <c r="C35" s="102"/>
      <c r="D35" s="102"/>
    </row>
    <row r="36" spans="3:4" x14ac:dyDescent="0.25">
      <c r="C36" s="102"/>
      <c r="D36" s="102"/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5894-20E3-4156-B900-87B090A3300A}">
  <sheetPr>
    <tabColor theme="5" tint="0.59999389629810485"/>
  </sheetPr>
  <dimension ref="A1"/>
  <sheetViews>
    <sheetView showGridLines="0" topLeftCell="A5" workbookViewId="0">
      <selection activeCell="H3" sqref="H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sheetPr>
    <tabColor theme="8" tint="0.39997558519241921"/>
  </sheetPr>
  <dimension ref="A1:L93"/>
  <sheetViews>
    <sheetView workbookViewId="0">
      <pane xSplit="1" ySplit="1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F82" sqref="F82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109" t="str">
        <f>IF(B2&lt;&gt;B3, "A NEW VERSION OF THE WORKSHEET IS AVAILABLE", "")</f>
        <v/>
      </c>
      <c r="F1" s="109"/>
      <c r="G1" s="109"/>
      <c r="H1" s="109"/>
      <c r="I1" s="109"/>
      <c r="J1" s="109"/>
      <c r="K1" s="109"/>
    </row>
    <row r="2" spans="1:11" x14ac:dyDescent="0.2">
      <c r="A2" s="1" t="s">
        <v>2</v>
      </c>
      <c r="B2" s="2">
        <v>2.1</v>
      </c>
      <c r="E2" s="110" t="s">
        <v>3</v>
      </c>
      <c r="F2" s="110"/>
      <c r="G2" s="110"/>
      <c r="H2" s="110"/>
      <c r="I2" s="110"/>
      <c r="J2" s="110"/>
      <c r="K2" s="110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234.95912768529712</v>
      </c>
    </row>
    <row r="7" spans="1:11" x14ac:dyDescent="0.2">
      <c r="A7" s="2" t="s">
        <v>7</v>
      </c>
      <c r="B7" s="3">
        <v>1</v>
      </c>
    </row>
    <row r="8" spans="1:11" x14ac:dyDescent="0.2">
      <c r="A8" s="2" t="s">
        <v>8</v>
      </c>
      <c r="B8" s="3">
        <v>2150.6</v>
      </c>
    </row>
    <row r="9" spans="1:11" x14ac:dyDescent="0.2">
      <c r="A9" s="2" t="s">
        <v>9</v>
      </c>
      <c r="B9" s="3">
        <v>505303.1</v>
      </c>
    </row>
    <row r="15" spans="1:11" x14ac:dyDescent="0.2">
      <c r="A15" s="1" t="s">
        <v>10</v>
      </c>
      <c r="B15" s="2">
        <f>B26+B34</f>
        <v>7352</v>
      </c>
      <c r="K15" s="2">
        <f>K17-K18-K20-K21-K22-K23-K19</f>
        <v>17232</v>
      </c>
    </row>
    <row r="16" spans="1:11" s="6" customFormat="1" x14ac:dyDescent="0.2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">
      <c r="A17" s="2" t="s">
        <v>12</v>
      </c>
      <c r="B17" s="3">
        <v>33162</v>
      </c>
      <c r="C17" s="3">
        <v>35545</v>
      </c>
      <c r="D17" s="3">
        <v>39310</v>
      </c>
      <c r="E17" s="3">
        <v>39783</v>
      </c>
      <c r="F17" s="3">
        <v>47028</v>
      </c>
      <c r="G17" s="3">
        <v>52446</v>
      </c>
      <c r="H17" s="3">
        <v>60580</v>
      </c>
      <c r="I17" s="3">
        <v>61896</v>
      </c>
      <c r="J17" s="3">
        <v>61328</v>
      </c>
      <c r="K17" s="3">
        <v>64468</v>
      </c>
    </row>
    <row r="18" spans="1:11" ht="15" x14ac:dyDescent="0.25">
      <c r="A18" s="2" t="s">
        <v>13</v>
      </c>
      <c r="B18" s="7">
        <v>13606</v>
      </c>
      <c r="C18" s="7">
        <v>14233</v>
      </c>
      <c r="D18" s="7">
        <v>15845</v>
      </c>
      <c r="E18" s="7">
        <v>15697</v>
      </c>
      <c r="F18" s="7">
        <v>20141</v>
      </c>
      <c r="G18" s="7">
        <v>22871</v>
      </c>
      <c r="H18" s="7">
        <v>28427</v>
      </c>
      <c r="I18" s="7">
        <v>26822</v>
      </c>
      <c r="J18" s="7">
        <v>26602</v>
      </c>
      <c r="K18" s="7">
        <v>29158</v>
      </c>
    </row>
    <row r="19" spans="1:11" ht="15" x14ac:dyDescent="0.25">
      <c r="A19" s="2" t="s">
        <v>14</v>
      </c>
      <c r="B19" s="7">
        <v>-144</v>
      </c>
      <c r="C19" s="7">
        <v>72</v>
      </c>
      <c r="D19" s="7">
        <v>-12</v>
      </c>
      <c r="E19" s="7">
        <v>108</v>
      </c>
      <c r="F19" s="7">
        <v>405</v>
      </c>
      <c r="G19" s="7">
        <v>22</v>
      </c>
      <c r="H19" s="7">
        <v>75</v>
      </c>
      <c r="I19" s="7">
        <v>11</v>
      </c>
      <c r="J19" s="7">
        <v>125</v>
      </c>
      <c r="K19" s="7">
        <v>429</v>
      </c>
    </row>
    <row r="20" spans="1:11" x14ac:dyDescent="0.2">
      <c r="A20" s="2" t="s">
        <v>15</v>
      </c>
      <c r="B20" s="3">
        <v>295</v>
      </c>
      <c r="C20" s="3">
        <v>295</v>
      </c>
      <c r="D20" s="3">
        <v>308</v>
      </c>
      <c r="E20" s="3">
        <v>299</v>
      </c>
      <c r="F20" s="3">
        <v>339</v>
      </c>
      <c r="G20" s="3">
        <v>318</v>
      </c>
      <c r="H20" s="3">
        <v>384</v>
      </c>
      <c r="I20" s="3">
        <v>446</v>
      </c>
      <c r="J20" s="3">
        <v>403</v>
      </c>
      <c r="K20" s="3">
        <v>426</v>
      </c>
    </row>
    <row r="21" spans="1:11" x14ac:dyDescent="0.2">
      <c r="A21" s="2" t="s">
        <v>16</v>
      </c>
      <c r="B21" s="3">
        <v>2887</v>
      </c>
      <c r="C21" s="3">
        <v>2998</v>
      </c>
      <c r="D21" s="3">
        <v>3041</v>
      </c>
      <c r="E21" s="3">
        <v>2906</v>
      </c>
      <c r="F21" s="3">
        <v>2868</v>
      </c>
      <c r="G21" s="3">
        <v>3354</v>
      </c>
      <c r="H21" s="3">
        <v>3791</v>
      </c>
      <c r="I21" s="3">
        <v>3385</v>
      </c>
      <c r="J21" s="3">
        <v>3687</v>
      </c>
      <c r="K21" s="3">
        <v>3304</v>
      </c>
    </row>
    <row r="22" spans="1:11" x14ac:dyDescent="0.2">
      <c r="A22" s="2" t="s">
        <v>17</v>
      </c>
      <c r="B22" s="3">
        <v>1743</v>
      </c>
      <c r="C22" s="3">
        <v>1860</v>
      </c>
      <c r="D22" s="3">
        <v>1875</v>
      </c>
      <c r="E22" s="3">
        <v>1820</v>
      </c>
      <c r="F22" s="3">
        <v>2358</v>
      </c>
      <c r="G22" s="3">
        <v>2545</v>
      </c>
      <c r="H22" s="3">
        <v>2854</v>
      </c>
      <c r="I22" s="3">
        <v>3009</v>
      </c>
      <c r="J22" s="3">
        <v>2952</v>
      </c>
      <c r="K22" s="3">
        <v>3175</v>
      </c>
    </row>
    <row r="23" spans="1:11" x14ac:dyDescent="0.2">
      <c r="A23" s="2" t="s">
        <v>18</v>
      </c>
      <c r="B23" s="3">
        <v>6689</v>
      </c>
      <c r="C23" s="3">
        <v>7252</v>
      </c>
      <c r="D23" s="3">
        <v>7796</v>
      </c>
      <c r="E23" s="3">
        <v>7620</v>
      </c>
      <c r="F23" s="3">
        <v>7906</v>
      </c>
      <c r="G23" s="3">
        <v>8164</v>
      </c>
      <c r="H23" s="3">
        <v>8785</v>
      </c>
      <c r="I23" s="3">
        <v>10780</v>
      </c>
      <c r="J23" s="3">
        <v>10145</v>
      </c>
      <c r="K23" s="3">
        <v>10744</v>
      </c>
    </row>
    <row r="24" spans="1:11" x14ac:dyDescent="0.2">
      <c r="A24" s="2" t="s">
        <v>19</v>
      </c>
      <c r="B24" s="3">
        <v>1470</v>
      </c>
      <c r="C24" s="3">
        <v>1480</v>
      </c>
      <c r="D24" s="3">
        <v>1553</v>
      </c>
      <c r="E24" s="3">
        <v>1688</v>
      </c>
      <c r="F24" s="3">
        <v>2195</v>
      </c>
      <c r="G24" s="3">
        <v>2359</v>
      </c>
      <c r="H24" s="3">
        <v>2267</v>
      </c>
      <c r="I24" s="3">
        <v>2806</v>
      </c>
      <c r="J24" s="3">
        <v>2966</v>
      </c>
      <c r="K24" s="3">
        <v>3051</v>
      </c>
    </row>
    <row r="25" spans="1:11" x14ac:dyDescent="0.2">
      <c r="A25" s="2" t="s">
        <v>20</v>
      </c>
      <c r="B25" s="3">
        <v>606</v>
      </c>
      <c r="C25" s="3">
        <v>353</v>
      </c>
      <c r="D25" s="3">
        <v>322</v>
      </c>
      <c r="E25" s="3">
        <v>424</v>
      </c>
      <c r="F25" s="3">
        <v>170</v>
      </c>
      <c r="G25" s="3">
        <v>219</v>
      </c>
      <c r="H25" s="3">
        <v>448</v>
      </c>
      <c r="I25" s="3">
        <v>817</v>
      </c>
      <c r="J25" s="3">
        <v>1355</v>
      </c>
      <c r="K25" s="3">
        <v>4923</v>
      </c>
    </row>
    <row r="26" spans="1:11" x14ac:dyDescent="0.2">
      <c r="A26" s="2" t="s">
        <v>21</v>
      </c>
      <c r="B26" s="3">
        <v>432</v>
      </c>
      <c r="C26" s="3">
        <v>520</v>
      </c>
      <c r="D26" s="3">
        <v>565</v>
      </c>
      <c r="E26" s="3">
        <v>1002</v>
      </c>
      <c r="F26" s="3">
        <v>1074</v>
      </c>
      <c r="G26" s="3">
        <v>1091</v>
      </c>
      <c r="H26" s="3">
        <v>1137</v>
      </c>
      <c r="I26" s="3">
        <v>1216</v>
      </c>
      <c r="J26" s="3">
        <v>1253</v>
      </c>
      <c r="K26" s="3">
        <v>1333</v>
      </c>
    </row>
    <row r="27" spans="1:11" ht="15" x14ac:dyDescent="0.25">
      <c r="A27" s="2" t="s">
        <v>22</v>
      </c>
      <c r="B27" s="3">
        <v>35</v>
      </c>
      <c r="C27" s="3">
        <v>26</v>
      </c>
      <c r="D27" s="3">
        <v>33</v>
      </c>
      <c r="E27" s="3">
        <v>118</v>
      </c>
      <c r="F27" s="3">
        <v>117</v>
      </c>
      <c r="G27" s="3">
        <v>106</v>
      </c>
      <c r="H27" s="3">
        <v>114</v>
      </c>
      <c r="I27" s="3">
        <v>334</v>
      </c>
      <c r="J27" s="7">
        <v>381</v>
      </c>
      <c r="K27" s="7">
        <v>410</v>
      </c>
    </row>
    <row r="28" spans="1:11" x14ac:dyDescent="0.2">
      <c r="A28" s="2" t="s">
        <v>23</v>
      </c>
      <c r="B28" s="3">
        <v>6467</v>
      </c>
      <c r="C28" s="3">
        <v>7306</v>
      </c>
      <c r="D28" s="3">
        <v>8604</v>
      </c>
      <c r="E28" s="3">
        <v>9165</v>
      </c>
      <c r="F28" s="3">
        <v>10605</v>
      </c>
      <c r="G28" s="3">
        <v>11879</v>
      </c>
      <c r="H28" s="3">
        <v>13344</v>
      </c>
      <c r="I28" s="3">
        <v>13926</v>
      </c>
      <c r="J28" s="3">
        <v>14419</v>
      </c>
      <c r="K28" s="3">
        <v>18219</v>
      </c>
    </row>
    <row r="29" spans="1:11" x14ac:dyDescent="0.2">
      <c r="A29" s="2" t="s">
        <v>24</v>
      </c>
      <c r="B29" s="3">
        <v>1977</v>
      </c>
      <c r="C29" s="3">
        <v>2079</v>
      </c>
      <c r="D29" s="3">
        <v>2544</v>
      </c>
      <c r="E29" s="3">
        <v>2409</v>
      </c>
      <c r="F29" s="3">
        <v>2606</v>
      </c>
      <c r="G29" s="3">
        <v>2987</v>
      </c>
      <c r="H29" s="3">
        <v>3201</v>
      </c>
      <c r="I29" s="3">
        <v>3644</v>
      </c>
      <c r="J29" s="3">
        <v>3748</v>
      </c>
      <c r="K29" s="3">
        <v>3160</v>
      </c>
    </row>
    <row r="30" spans="1:11" x14ac:dyDescent="0.2">
      <c r="A30" s="2" t="s">
        <v>25</v>
      </c>
      <c r="B30" s="3">
        <v>4476</v>
      </c>
      <c r="C30" s="3">
        <v>5214</v>
      </c>
      <c r="D30" s="3">
        <v>6054</v>
      </c>
      <c r="E30" s="3">
        <v>6748</v>
      </c>
      <c r="F30" s="3">
        <v>7995</v>
      </c>
      <c r="G30" s="3">
        <v>8879</v>
      </c>
      <c r="H30" s="3">
        <v>10120</v>
      </c>
      <c r="I30" s="3">
        <v>10277</v>
      </c>
      <c r="J30" s="3">
        <v>10649</v>
      </c>
      <c r="K30" s="3">
        <v>15040</v>
      </c>
    </row>
    <row r="31" spans="1:11" x14ac:dyDescent="0.2">
      <c r="A31" s="2" t="s">
        <v>26</v>
      </c>
      <c r="B31" s="3">
        <v>3672</v>
      </c>
      <c r="C31" s="3">
        <v>4320</v>
      </c>
      <c r="D31" s="3">
        <v>4752</v>
      </c>
      <c r="E31" s="3">
        <v>5400</v>
      </c>
      <c r="F31" s="3">
        <v>9517.5</v>
      </c>
      <c r="G31" s="3">
        <v>7990</v>
      </c>
      <c r="H31" s="3">
        <v>9165</v>
      </c>
      <c r="I31" s="3">
        <v>9870</v>
      </c>
      <c r="J31" s="3">
        <v>12455</v>
      </c>
      <c r="K31" s="3">
        <v>9635</v>
      </c>
    </row>
    <row r="32" spans="1:11" x14ac:dyDescent="0.2">
      <c r="A32" s="2" t="s">
        <v>27</v>
      </c>
      <c r="B32" s="8">
        <f>B29/B28</f>
        <v>0.30570589144889437</v>
      </c>
      <c r="C32" s="8">
        <f t="shared" ref="C32:K32" si="0">C29/C28</f>
        <v>0.2845606350944429</v>
      </c>
      <c r="D32" s="8">
        <f t="shared" si="0"/>
        <v>0.29567642956764295</v>
      </c>
      <c r="E32" s="8">
        <f t="shared" si="0"/>
        <v>0.26284779050736495</v>
      </c>
      <c r="F32" s="8">
        <f t="shared" si="0"/>
        <v>0.24573314474304572</v>
      </c>
      <c r="G32" s="8">
        <f t="shared" si="0"/>
        <v>0.25145214243623198</v>
      </c>
      <c r="H32" s="8">
        <f t="shared" si="0"/>
        <v>0.23988309352517986</v>
      </c>
      <c r="I32" s="8">
        <f t="shared" si="0"/>
        <v>0.26166882091052707</v>
      </c>
      <c r="J32" s="8">
        <f t="shared" si="0"/>
        <v>0.2599348082391289</v>
      </c>
      <c r="K32" s="8">
        <f t="shared" si="0"/>
        <v>0.17344530435259894</v>
      </c>
    </row>
    <row r="34" spans="1:11" x14ac:dyDescent="0.2">
      <c r="A34" s="2" t="s">
        <v>28</v>
      </c>
      <c r="B34" s="2">
        <f>+B30+B29+B27+B26</f>
        <v>6920</v>
      </c>
      <c r="C34" s="2">
        <f t="shared" ref="C34:K34" si="1">+C30+C29+C27+C26</f>
        <v>7839</v>
      </c>
      <c r="D34" s="2">
        <f t="shared" si="1"/>
        <v>9196</v>
      </c>
      <c r="E34" s="2">
        <f t="shared" si="1"/>
        <v>10277</v>
      </c>
      <c r="F34" s="2">
        <f t="shared" si="1"/>
        <v>11792</v>
      </c>
      <c r="G34" s="2">
        <f t="shared" si="1"/>
        <v>13063</v>
      </c>
      <c r="H34" s="2">
        <f t="shared" si="1"/>
        <v>14572</v>
      </c>
      <c r="I34" s="2">
        <f t="shared" si="1"/>
        <v>15471</v>
      </c>
      <c r="J34" s="2">
        <f t="shared" si="1"/>
        <v>16031</v>
      </c>
      <c r="K34" s="2">
        <f t="shared" si="1"/>
        <v>19943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2">
      <c r="A42" s="2" t="s">
        <v>12</v>
      </c>
      <c r="B42" s="3">
        <v>15567</v>
      </c>
      <c r="C42" s="3">
        <v>15210</v>
      </c>
      <c r="D42" s="3">
        <v>15707</v>
      </c>
      <c r="E42" s="3">
        <v>15926</v>
      </c>
      <c r="F42" s="3">
        <v>15556</v>
      </c>
      <c r="G42" s="3">
        <v>15190</v>
      </c>
      <c r="H42" s="3">
        <v>16514</v>
      </c>
      <c r="I42" s="3">
        <v>15919</v>
      </c>
      <c r="J42" s="3">
        <v>16441</v>
      </c>
      <c r="K42" s="3">
        <v>16351</v>
      </c>
    </row>
    <row r="43" spans="1:11" x14ac:dyDescent="0.2">
      <c r="A43" s="2" t="s">
        <v>30</v>
      </c>
      <c r="B43" s="3">
        <v>11902</v>
      </c>
      <c r="C43" s="3">
        <v>11675</v>
      </c>
      <c r="D43" s="3">
        <v>11965</v>
      </c>
      <c r="E43" s="3">
        <v>12139</v>
      </c>
      <c r="F43" s="3">
        <v>11867</v>
      </c>
      <c r="G43" s="3">
        <v>11572</v>
      </c>
      <c r="H43" s="3">
        <v>12797</v>
      </c>
      <c r="I43" s="3">
        <v>12137</v>
      </c>
      <c r="J43" s="3">
        <v>12660</v>
      </c>
      <c r="K43" s="3">
        <v>12514</v>
      </c>
    </row>
    <row r="44" spans="1:11" x14ac:dyDescent="0.2">
      <c r="A44" s="2" t="s">
        <v>20</v>
      </c>
      <c r="B44" s="3">
        <v>184</v>
      </c>
      <c r="C44" s="3">
        <v>309</v>
      </c>
      <c r="D44" s="3">
        <v>209</v>
      </c>
      <c r="E44" s="3">
        <v>203</v>
      </c>
      <c r="F44" s="3">
        <v>733</v>
      </c>
      <c r="G44" s="3">
        <v>149</v>
      </c>
      <c r="H44" s="3">
        <v>74</v>
      </c>
      <c r="I44" s="3">
        <v>269</v>
      </c>
      <c r="J44" s="3">
        <v>4048</v>
      </c>
      <c r="K44" s="3">
        <v>503</v>
      </c>
    </row>
    <row r="45" spans="1:11" x14ac:dyDescent="0.2">
      <c r="A45" s="2" t="s">
        <v>21</v>
      </c>
      <c r="B45" s="3">
        <v>313</v>
      </c>
      <c r="C45" s="3">
        <v>320</v>
      </c>
      <c r="D45" s="3">
        <v>329</v>
      </c>
      <c r="E45" s="3">
        <v>338</v>
      </c>
      <c r="F45" s="3">
        <v>318</v>
      </c>
      <c r="G45" s="3">
        <v>318</v>
      </c>
      <c r="H45" s="3">
        <v>361</v>
      </c>
      <c r="I45" s="3">
        <v>322</v>
      </c>
      <c r="J45" s="3">
        <v>337</v>
      </c>
      <c r="K45" s="3">
        <v>348</v>
      </c>
    </row>
    <row r="46" spans="1:11" ht="15" x14ac:dyDescent="0.25">
      <c r="A46" s="2" t="s">
        <v>22</v>
      </c>
      <c r="B46" s="7">
        <v>91</v>
      </c>
      <c r="C46" s="7">
        <v>105</v>
      </c>
      <c r="D46" s="7">
        <v>93</v>
      </c>
      <c r="E46" s="7">
        <v>110</v>
      </c>
      <c r="F46" s="7">
        <v>109</v>
      </c>
      <c r="G46" s="7">
        <v>77</v>
      </c>
      <c r="H46" s="7">
        <v>127</v>
      </c>
      <c r="I46" s="7">
        <v>124</v>
      </c>
      <c r="J46" s="7">
        <v>88</v>
      </c>
      <c r="K46" s="7">
        <v>76</v>
      </c>
    </row>
    <row r="47" spans="1:11" x14ac:dyDescent="0.2">
      <c r="A47" s="2" t="s">
        <v>23</v>
      </c>
      <c r="B47" s="3">
        <v>3445</v>
      </c>
      <c r="C47" s="3">
        <v>3419</v>
      </c>
      <c r="D47" s="3">
        <v>3529</v>
      </c>
      <c r="E47" s="3">
        <v>3542</v>
      </c>
      <c r="F47" s="3">
        <v>3995</v>
      </c>
      <c r="G47" s="3">
        <v>3372</v>
      </c>
      <c r="H47" s="3">
        <v>3303</v>
      </c>
      <c r="I47" s="3">
        <v>3605</v>
      </c>
      <c r="J47" s="3">
        <v>7404</v>
      </c>
      <c r="K47" s="3">
        <v>3916</v>
      </c>
    </row>
    <row r="48" spans="1:11" x14ac:dyDescent="0.2">
      <c r="A48" s="2" t="s">
        <v>24</v>
      </c>
      <c r="B48" s="3">
        <v>937</v>
      </c>
      <c r="C48" s="3">
        <v>858</v>
      </c>
      <c r="D48" s="3">
        <v>917</v>
      </c>
      <c r="E48" s="3">
        <v>947</v>
      </c>
      <c r="F48" s="3">
        <v>1006</v>
      </c>
      <c r="G48" s="3">
        <v>897</v>
      </c>
      <c r="H48" s="3">
        <v>535</v>
      </c>
      <c r="I48" s="3">
        <v>911</v>
      </c>
      <c r="J48" s="3">
        <v>801</v>
      </c>
      <c r="K48" s="3">
        <v>922</v>
      </c>
    </row>
    <row r="49" spans="1:11" x14ac:dyDescent="0.2">
      <c r="A49" s="2" t="s">
        <v>25</v>
      </c>
      <c r="B49" s="3">
        <v>2509</v>
      </c>
      <c r="C49" s="3">
        <v>2558</v>
      </c>
      <c r="D49" s="3">
        <v>2610</v>
      </c>
      <c r="E49" s="3">
        <v>2591</v>
      </c>
      <c r="F49" s="3">
        <v>2984</v>
      </c>
      <c r="G49" s="3">
        <v>2464</v>
      </c>
      <c r="H49" s="3">
        <v>2756</v>
      </c>
      <c r="I49" s="3">
        <v>2685</v>
      </c>
      <c r="J49" s="3">
        <v>6607</v>
      </c>
      <c r="K49" s="3">
        <v>2992</v>
      </c>
    </row>
    <row r="50" spans="1:11" x14ac:dyDescent="0.2">
      <c r="A50" s="2" t="s">
        <v>31</v>
      </c>
      <c r="B50" s="3">
        <v>3665</v>
      </c>
      <c r="C50" s="3">
        <v>3535</v>
      </c>
      <c r="D50" s="3">
        <v>3742</v>
      </c>
      <c r="E50" s="3">
        <v>3787</v>
      </c>
      <c r="F50" s="3">
        <v>3689</v>
      </c>
      <c r="G50" s="3">
        <v>3618</v>
      </c>
      <c r="H50" s="3">
        <v>3717</v>
      </c>
      <c r="I50" s="3">
        <v>3782</v>
      </c>
      <c r="J50" s="3">
        <v>3781</v>
      </c>
      <c r="K50" s="3">
        <v>3837</v>
      </c>
    </row>
    <row r="51" spans="1:11" x14ac:dyDescent="0.2">
      <c r="A51" s="2" t="s">
        <v>28</v>
      </c>
      <c r="B51" s="2">
        <f>B49+B48+B46+B45</f>
        <v>3850</v>
      </c>
      <c r="C51" s="2">
        <f t="shared" ref="C51:K51" si="2">C49+C48+C46+C45</f>
        <v>3841</v>
      </c>
      <c r="D51" s="2">
        <f t="shared" si="2"/>
        <v>3949</v>
      </c>
      <c r="E51" s="2">
        <f t="shared" si="2"/>
        <v>3986</v>
      </c>
      <c r="F51" s="2">
        <f t="shared" si="2"/>
        <v>4417</v>
      </c>
      <c r="G51" s="2">
        <f t="shared" si="2"/>
        <v>3756</v>
      </c>
      <c r="H51" s="2">
        <f t="shared" si="2"/>
        <v>3779</v>
      </c>
      <c r="I51" s="2">
        <f t="shared" si="2"/>
        <v>4042</v>
      </c>
      <c r="J51" s="2">
        <f t="shared" si="2"/>
        <v>7833</v>
      </c>
      <c r="K51" s="2">
        <f t="shared" si="2"/>
        <v>4338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">
      <c r="A57" s="2" t="s">
        <v>33</v>
      </c>
      <c r="B57" s="3">
        <v>216</v>
      </c>
      <c r="C57" s="3">
        <v>216</v>
      </c>
      <c r="D57" s="3">
        <v>216</v>
      </c>
      <c r="E57" s="3">
        <v>216</v>
      </c>
      <c r="F57" s="3">
        <v>235</v>
      </c>
      <c r="G57" s="3">
        <v>235</v>
      </c>
      <c r="H57" s="3">
        <v>235</v>
      </c>
      <c r="I57" s="3">
        <v>235</v>
      </c>
      <c r="J57" s="3">
        <v>235</v>
      </c>
      <c r="K57" s="3">
        <v>235</v>
      </c>
    </row>
    <row r="58" spans="1:11" x14ac:dyDescent="0.2">
      <c r="A58" s="2" t="s">
        <v>34</v>
      </c>
      <c r="B58" s="3">
        <v>6528</v>
      </c>
      <c r="C58" s="3">
        <v>7065</v>
      </c>
      <c r="D58" s="3">
        <v>7651</v>
      </c>
      <c r="E58" s="3">
        <v>8013</v>
      </c>
      <c r="F58" s="3">
        <v>47439</v>
      </c>
      <c r="G58" s="3">
        <v>48826</v>
      </c>
      <c r="H58" s="3">
        <v>50069</v>
      </c>
      <c r="I58" s="3">
        <v>50983</v>
      </c>
      <c r="J58" s="3">
        <v>49167</v>
      </c>
      <c r="K58" s="3">
        <v>48504</v>
      </c>
    </row>
    <row r="59" spans="1:11" ht="15" x14ac:dyDescent="0.25">
      <c r="A59" s="2" t="s">
        <v>35</v>
      </c>
      <c r="B59" s="7">
        <v>277</v>
      </c>
      <c r="C59" s="7"/>
      <c r="D59" s="7">
        <v>99</v>
      </c>
      <c r="E59" s="7"/>
      <c r="F59" s="7"/>
      <c r="G59" s="7">
        <v>1043</v>
      </c>
      <c r="H59" s="7">
        <v>1219</v>
      </c>
      <c r="I59" s="7">
        <v>1484</v>
      </c>
      <c r="J59" s="7">
        <v>1648</v>
      </c>
      <c r="K59" s="7">
        <v>1478</v>
      </c>
    </row>
    <row r="60" spans="1:11" x14ac:dyDescent="0.2">
      <c r="A60" s="2" t="s">
        <v>36</v>
      </c>
      <c r="B60" s="3">
        <v>8685</v>
      </c>
      <c r="C60" s="3">
        <v>10581</v>
      </c>
      <c r="D60" s="3">
        <v>10663</v>
      </c>
      <c r="E60" s="3">
        <v>11924</v>
      </c>
      <c r="F60" s="3">
        <v>21066</v>
      </c>
      <c r="G60" s="3">
        <v>20402</v>
      </c>
      <c r="H60" s="3">
        <v>21554</v>
      </c>
      <c r="I60" s="3">
        <v>25787</v>
      </c>
      <c r="J60" s="3">
        <v>28813</v>
      </c>
      <c r="K60" s="3">
        <v>29521</v>
      </c>
    </row>
    <row r="61" spans="1:11" s="1" customFormat="1" x14ac:dyDescent="0.2">
      <c r="A61" s="1" t="s">
        <v>37</v>
      </c>
      <c r="B61" s="3">
        <v>15706</v>
      </c>
      <c r="C61" s="3">
        <v>17862</v>
      </c>
      <c r="D61" s="3">
        <v>18629</v>
      </c>
      <c r="E61" s="3">
        <v>20153</v>
      </c>
      <c r="F61" s="3">
        <v>68740</v>
      </c>
      <c r="G61" s="3">
        <v>70506</v>
      </c>
      <c r="H61" s="3">
        <v>73077</v>
      </c>
      <c r="I61" s="3">
        <v>78489</v>
      </c>
      <c r="J61" s="3">
        <v>79863</v>
      </c>
      <c r="K61" s="3">
        <v>79738</v>
      </c>
    </row>
    <row r="62" spans="1:11" x14ac:dyDescent="0.2">
      <c r="A62" s="2" t="s">
        <v>38</v>
      </c>
      <c r="B62" s="3">
        <v>4419</v>
      </c>
      <c r="C62" s="3">
        <v>4528</v>
      </c>
      <c r="D62" s="3">
        <v>4715</v>
      </c>
      <c r="E62" s="3">
        <v>5479</v>
      </c>
      <c r="F62" s="3">
        <v>51443</v>
      </c>
      <c r="G62" s="3">
        <v>51473</v>
      </c>
      <c r="H62" s="3">
        <v>52678</v>
      </c>
      <c r="I62" s="3">
        <v>53744</v>
      </c>
      <c r="J62" s="3">
        <v>54335</v>
      </c>
      <c r="K62" s="3">
        <v>57428</v>
      </c>
    </row>
    <row r="63" spans="1:11" x14ac:dyDescent="0.2">
      <c r="A63" s="2" t="s">
        <v>39</v>
      </c>
      <c r="B63" s="3">
        <v>229</v>
      </c>
      <c r="C63" s="3">
        <v>461</v>
      </c>
      <c r="D63" s="3">
        <v>406</v>
      </c>
      <c r="E63" s="3">
        <v>597</v>
      </c>
      <c r="F63" s="3">
        <v>745</v>
      </c>
      <c r="G63" s="3">
        <v>1313</v>
      </c>
      <c r="H63" s="3">
        <v>1132</v>
      </c>
      <c r="I63" s="3">
        <v>1025</v>
      </c>
      <c r="J63" s="3">
        <v>1009</v>
      </c>
      <c r="K63" s="3">
        <v>880</v>
      </c>
    </row>
    <row r="64" spans="1:11" ht="15" x14ac:dyDescent="0.25">
      <c r="A64" s="2" t="s">
        <v>40</v>
      </c>
      <c r="B64" s="3">
        <v>3794</v>
      </c>
      <c r="C64" s="7">
        <v>2873</v>
      </c>
      <c r="D64" s="3">
        <v>2716</v>
      </c>
      <c r="E64" s="3">
        <v>1255</v>
      </c>
      <c r="F64" s="3">
        <v>2709</v>
      </c>
      <c r="G64" s="3">
        <v>3521</v>
      </c>
      <c r="H64" s="3">
        <v>2882</v>
      </c>
      <c r="I64" s="3">
        <v>4625</v>
      </c>
      <c r="J64" s="3">
        <v>3810</v>
      </c>
      <c r="K64" s="3">
        <v>4359</v>
      </c>
    </row>
    <row r="65" spans="1:11" x14ac:dyDescent="0.2">
      <c r="A65" s="2" t="s">
        <v>41</v>
      </c>
      <c r="B65" s="3">
        <v>7264</v>
      </c>
      <c r="C65" s="3">
        <v>10000</v>
      </c>
      <c r="D65" s="3">
        <v>10792</v>
      </c>
      <c r="E65" s="3">
        <v>12822</v>
      </c>
      <c r="F65" s="3">
        <v>13843</v>
      </c>
      <c r="G65" s="3">
        <v>14199</v>
      </c>
      <c r="H65" s="3">
        <v>16385</v>
      </c>
      <c r="I65" s="3">
        <v>19095</v>
      </c>
      <c r="J65" s="3">
        <v>20709</v>
      </c>
      <c r="K65" s="3">
        <v>17071</v>
      </c>
    </row>
    <row r="66" spans="1:11" s="1" customFormat="1" x14ac:dyDescent="0.2">
      <c r="A66" s="1" t="s">
        <v>37</v>
      </c>
      <c r="B66" s="3">
        <v>15706</v>
      </c>
      <c r="C66" s="3">
        <v>17862</v>
      </c>
      <c r="D66" s="3">
        <v>18629</v>
      </c>
      <c r="E66" s="3">
        <v>20153</v>
      </c>
      <c r="F66" s="3">
        <v>68740</v>
      </c>
      <c r="G66" s="3">
        <v>70506</v>
      </c>
      <c r="H66" s="3">
        <v>73077</v>
      </c>
      <c r="I66" s="3">
        <v>78489</v>
      </c>
      <c r="J66" s="3">
        <v>79863</v>
      </c>
      <c r="K66" s="3">
        <v>79738</v>
      </c>
    </row>
    <row r="67" spans="1:11" x14ac:dyDescent="0.2">
      <c r="A67" s="2" t="s">
        <v>42</v>
      </c>
      <c r="B67" s="3">
        <v>1085</v>
      </c>
      <c r="C67" s="3">
        <v>1310</v>
      </c>
      <c r="D67" s="3">
        <v>1816</v>
      </c>
      <c r="E67" s="3">
        <v>1149</v>
      </c>
      <c r="F67" s="3">
        <v>1758</v>
      </c>
      <c r="G67" s="3">
        <v>2236</v>
      </c>
      <c r="H67" s="3">
        <v>3079</v>
      </c>
      <c r="I67" s="3">
        <v>2997</v>
      </c>
      <c r="J67" s="3">
        <v>3819</v>
      </c>
      <c r="K67" s="3">
        <v>3379</v>
      </c>
    </row>
    <row r="68" spans="1:11" ht="15" x14ac:dyDescent="0.25">
      <c r="A68" s="2" t="s">
        <v>43</v>
      </c>
      <c r="B68" s="7">
        <v>2541</v>
      </c>
      <c r="C68" s="7">
        <v>2513</v>
      </c>
      <c r="D68" s="7">
        <v>2574</v>
      </c>
      <c r="E68" s="7">
        <v>2767</v>
      </c>
      <c r="F68" s="7">
        <v>3579</v>
      </c>
      <c r="G68" s="7">
        <v>4096</v>
      </c>
      <c r="H68" s="7">
        <v>4251</v>
      </c>
      <c r="I68" s="7">
        <v>4022</v>
      </c>
      <c r="J68" s="7">
        <v>4415</v>
      </c>
      <c r="K68" s="7">
        <v>4789</v>
      </c>
    </row>
    <row r="69" spans="1:11" x14ac:dyDescent="0.2">
      <c r="A69" s="2" t="s">
        <v>44</v>
      </c>
      <c r="B69" s="3">
        <v>1828</v>
      </c>
      <c r="C69" s="3">
        <v>3485</v>
      </c>
      <c r="D69" s="3">
        <v>3757</v>
      </c>
      <c r="E69" s="3">
        <v>5113</v>
      </c>
      <c r="F69" s="3">
        <v>4471</v>
      </c>
      <c r="G69" s="3">
        <v>3846</v>
      </c>
      <c r="H69" s="3">
        <v>4678</v>
      </c>
      <c r="I69" s="3">
        <v>7559</v>
      </c>
      <c r="J69" s="3">
        <v>7554</v>
      </c>
      <c r="K69" s="3">
        <v>3248</v>
      </c>
    </row>
    <row r="70" spans="1:11" x14ac:dyDescent="0.2">
      <c r="A70" s="2" t="s">
        <v>45</v>
      </c>
      <c r="B70" s="3">
        <v>2164349639</v>
      </c>
      <c r="C70" s="3">
        <v>2164528777</v>
      </c>
      <c r="D70" s="3">
        <v>2164704405</v>
      </c>
      <c r="E70" s="3">
        <v>2164704405</v>
      </c>
      <c r="F70" s="3">
        <v>2349567819</v>
      </c>
      <c r="G70" s="3">
        <v>2349591262</v>
      </c>
      <c r="H70" s="3">
        <v>2349591262</v>
      </c>
      <c r="I70" s="3">
        <v>2349591262</v>
      </c>
      <c r="J70" s="3">
        <v>2349591262</v>
      </c>
      <c r="K70" s="3">
        <v>2349591262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2">
      <c r="H73" s="2">
        <f>H62-G62+H45</f>
        <v>1566</v>
      </c>
      <c r="I73" s="2">
        <f t="shared" ref="I73:K73" si="3">I62-H62+I45</f>
        <v>1388</v>
      </c>
      <c r="J73" s="2">
        <f t="shared" si="3"/>
        <v>928</v>
      </c>
      <c r="K73" s="2">
        <f t="shared" si="3"/>
        <v>3441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">
      <c r="A82" s="2" t="s">
        <v>49</v>
      </c>
      <c r="B82" s="3">
        <v>5185</v>
      </c>
      <c r="C82" s="3">
        <v>6059</v>
      </c>
      <c r="D82" s="3">
        <v>5800</v>
      </c>
      <c r="E82" s="3">
        <v>7623</v>
      </c>
      <c r="F82" s="3">
        <v>9163</v>
      </c>
      <c r="G82" s="3">
        <v>9048</v>
      </c>
      <c r="H82" s="3">
        <v>9991</v>
      </c>
      <c r="I82" s="3">
        <v>15469</v>
      </c>
      <c r="J82" s="3">
        <v>11886</v>
      </c>
      <c r="K82" s="3">
        <v>10999</v>
      </c>
    </row>
    <row r="83" spans="1:12" x14ac:dyDescent="0.2">
      <c r="A83" s="2" t="s">
        <v>50</v>
      </c>
      <c r="B83" s="3">
        <v>-1173</v>
      </c>
      <c r="C83" s="3">
        <v>-1063</v>
      </c>
      <c r="D83" s="3">
        <v>-438</v>
      </c>
      <c r="E83" s="3">
        <v>1791</v>
      </c>
      <c r="F83" s="3">
        <v>-1228</v>
      </c>
      <c r="G83" s="3">
        <v>-1728</v>
      </c>
      <c r="H83" s="3">
        <v>-1484</v>
      </c>
      <c r="I83" s="3">
        <v>-5324</v>
      </c>
      <c r="J83" s="3">
        <v>6473</v>
      </c>
      <c r="K83" s="3">
        <v>-3676</v>
      </c>
    </row>
    <row r="84" spans="1:12" x14ac:dyDescent="0.2">
      <c r="A84" s="2" t="s">
        <v>51</v>
      </c>
      <c r="B84" s="3">
        <v>-4214</v>
      </c>
      <c r="C84" s="3">
        <v>-4975</v>
      </c>
      <c r="D84" s="3">
        <v>-5390</v>
      </c>
      <c r="E84" s="3">
        <v>-6819</v>
      </c>
      <c r="F84" s="3">
        <v>-9309</v>
      </c>
      <c r="G84" s="3">
        <v>-8015</v>
      </c>
      <c r="H84" s="3">
        <v>-8953</v>
      </c>
      <c r="I84" s="3">
        <v>-10034</v>
      </c>
      <c r="J84" s="3">
        <v>-13101</v>
      </c>
      <c r="K84" s="3">
        <v>-10810</v>
      </c>
    </row>
    <row r="85" spans="1:12" s="1" customFormat="1" x14ac:dyDescent="0.2">
      <c r="A85" s="2" t="s">
        <v>52</v>
      </c>
      <c r="B85" s="3">
        <v>-202</v>
      </c>
      <c r="C85" s="3">
        <v>21</v>
      </c>
      <c r="D85" s="3">
        <v>-28</v>
      </c>
      <c r="E85" s="3">
        <v>2595</v>
      </c>
      <c r="F85" s="3">
        <v>-1374</v>
      </c>
      <c r="G85" s="3">
        <v>-695</v>
      </c>
      <c r="H85" s="3">
        <v>-446</v>
      </c>
      <c r="I85" s="3">
        <v>111</v>
      </c>
      <c r="J85" s="3">
        <v>5258</v>
      </c>
      <c r="K85" s="3">
        <v>-3487</v>
      </c>
    </row>
    <row r="90" spans="1:12" s="1" customFormat="1" x14ac:dyDescent="0.2">
      <c r="A90" s="1" t="s">
        <v>53</v>
      </c>
      <c r="B90" s="3">
        <v>872.61</v>
      </c>
      <c r="C90" s="3">
        <v>1276.1099999999999</v>
      </c>
      <c r="D90" s="3">
        <v>1633.53</v>
      </c>
      <c r="E90" s="3">
        <v>2199.83</v>
      </c>
      <c r="F90" s="3">
        <v>2327.12</v>
      </c>
      <c r="G90" s="3">
        <v>1960.7</v>
      </c>
      <c r="H90" s="3">
        <v>2450.44</v>
      </c>
      <c r="I90" s="3">
        <v>2167.14</v>
      </c>
      <c r="J90" s="3">
        <v>2161.88</v>
      </c>
      <c r="K90" s="3">
        <v>2055.1999999999998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216.43</v>
      </c>
      <c r="C93" s="10">
        <v>216.45</v>
      </c>
      <c r="D93" s="10">
        <v>216.47</v>
      </c>
      <c r="E93" s="10">
        <v>216.48</v>
      </c>
      <c r="F93" s="10">
        <v>234.96</v>
      </c>
      <c r="G93" s="10">
        <v>234.96</v>
      </c>
      <c r="H93" s="10">
        <v>234.96</v>
      </c>
      <c r="I93" s="10">
        <v>234.96</v>
      </c>
      <c r="J93" s="10">
        <v>234.96</v>
      </c>
      <c r="K93" s="10">
        <v>234.96</v>
      </c>
    </row>
  </sheetData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BD2C-E877-4807-A443-5F38B02CD22F}">
  <sheetPr>
    <tabColor theme="8" tint="0.39997558519241921"/>
  </sheetPr>
  <dimension ref="A1:L93"/>
  <sheetViews>
    <sheetView workbookViewId="0">
      <selection activeCell="F23" sqref="F23:F24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107</v>
      </c>
      <c r="E1" s="109" t="str">
        <f>IF(B2&lt;&gt;B3, "A NEW VERSION OF THE WORKSHEET IS AVAILABLE", "")</f>
        <v/>
      </c>
      <c r="F1" s="109"/>
      <c r="G1" s="109"/>
      <c r="H1" s="109"/>
      <c r="I1" s="109"/>
      <c r="J1" s="109"/>
      <c r="K1" s="109"/>
    </row>
    <row r="2" spans="1:11" x14ac:dyDescent="0.2">
      <c r="A2" s="1" t="s">
        <v>2</v>
      </c>
      <c r="B2" s="2">
        <v>2.1</v>
      </c>
      <c r="E2" s="110" t="s">
        <v>3</v>
      </c>
      <c r="F2" s="110"/>
      <c r="G2" s="110"/>
      <c r="H2" s="110"/>
      <c r="I2" s="110"/>
      <c r="J2" s="110"/>
      <c r="K2" s="110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192.83143210555249</v>
      </c>
    </row>
    <row r="7" spans="1:11" x14ac:dyDescent="0.2">
      <c r="A7" s="2" t="s">
        <v>7</v>
      </c>
      <c r="B7" s="3">
        <v>1</v>
      </c>
    </row>
    <row r="8" spans="1:11" x14ac:dyDescent="0.2">
      <c r="A8" s="2" t="s">
        <v>8</v>
      </c>
      <c r="B8" s="3">
        <v>1455.2</v>
      </c>
    </row>
    <row r="9" spans="1:11" x14ac:dyDescent="0.2">
      <c r="A9" s="2" t="s">
        <v>9</v>
      </c>
      <c r="B9" s="3">
        <v>280608.3</v>
      </c>
    </row>
    <row r="15" spans="1:11" x14ac:dyDescent="0.2">
      <c r="A15" s="1" t="s">
        <v>10</v>
      </c>
      <c r="B15" s="2">
        <f>B26+B34</f>
        <v>2615.7000000000003</v>
      </c>
      <c r="K15" s="2">
        <f>K17-K18-K20-K21-K22-K23-K19</f>
        <v>4409.6000000000004</v>
      </c>
    </row>
    <row r="16" spans="1:11" s="6" customFormat="1" x14ac:dyDescent="0.2">
      <c r="A16" s="4" t="s">
        <v>11</v>
      </c>
      <c r="B16" s="5">
        <v>43100</v>
      </c>
      <c r="C16" s="5">
        <v>43465</v>
      </c>
      <c r="D16" s="5">
        <v>43830</v>
      </c>
      <c r="E16" s="5">
        <v>44196</v>
      </c>
      <c r="F16" s="5">
        <v>44561</v>
      </c>
      <c r="G16" s="5">
        <v>44926</v>
      </c>
      <c r="H16" s="5">
        <v>45291</v>
      </c>
      <c r="I16" s="5">
        <v>45382</v>
      </c>
      <c r="J16" s="5">
        <v>45747</v>
      </c>
      <c r="K16" s="5">
        <v>46112</v>
      </c>
    </row>
    <row r="17" spans="1:11" x14ac:dyDescent="0.2">
      <c r="A17" s="2" t="s">
        <v>12</v>
      </c>
      <c r="B17" s="3">
        <v>10009.6</v>
      </c>
      <c r="C17" s="3">
        <v>11292.27</v>
      </c>
      <c r="D17" s="3">
        <v>12368.9</v>
      </c>
      <c r="E17" s="3">
        <v>13350.03</v>
      </c>
      <c r="F17" s="3">
        <v>14740.59</v>
      </c>
      <c r="G17" s="3">
        <v>16896.96</v>
      </c>
      <c r="H17" s="3">
        <v>19126.3</v>
      </c>
      <c r="I17" s="3">
        <v>24393.89</v>
      </c>
      <c r="J17" s="3">
        <v>20201.560000000001</v>
      </c>
      <c r="K17" s="3">
        <v>23154.6</v>
      </c>
    </row>
    <row r="18" spans="1:11" ht="15" x14ac:dyDescent="0.25">
      <c r="A18" s="2" t="s">
        <v>13</v>
      </c>
      <c r="B18" s="7">
        <v>3696.99</v>
      </c>
      <c r="C18" s="7">
        <v>3829.22</v>
      </c>
      <c r="D18" s="7">
        <v>4520.91</v>
      </c>
      <c r="E18" s="7">
        <v>4901.74</v>
      </c>
      <c r="F18" s="7">
        <v>5301.26</v>
      </c>
      <c r="G18" s="7">
        <v>6660.42</v>
      </c>
      <c r="H18" s="7">
        <v>8472.7199999999993</v>
      </c>
      <c r="I18" s="7">
        <v>9201.11</v>
      </c>
      <c r="J18" s="7">
        <v>7646.63</v>
      </c>
      <c r="K18" s="7">
        <v>9113.9599999999991</v>
      </c>
    </row>
    <row r="19" spans="1:11" ht="15" x14ac:dyDescent="0.25">
      <c r="A19" s="2" t="s">
        <v>14</v>
      </c>
      <c r="B19" s="7">
        <v>79.56</v>
      </c>
      <c r="C19" s="7">
        <v>6.01</v>
      </c>
      <c r="D19" s="7">
        <v>144.19</v>
      </c>
      <c r="E19" s="7">
        <v>69.33</v>
      </c>
      <c r="F19" s="7">
        <v>67.59</v>
      </c>
      <c r="G19" s="7">
        <v>250.27</v>
      </c>
      <c r="H19" s="7">
        <v>40.01</v>
      </c>
      <c r="I19" s="7">
        <v>45.68</v>
      </c>
      <c r="J19" s="7">
        <v>139.66</v>
      </c>
      <c r="K19" s="7">
        <v>168.23</v>
      </c>
    </row>
    <row r="20" spans="1:11" x14ac:dyDescent="0.2">
      <c r="A20" s="2" t="s">
        <v>15</v>
      </c>
      <c r="B20" s="3">
        <v>288.44</v>
      </c>
      <c r="C20" s="3">
        <v>344.18</v>
      </c>
      <c r="D20" s="3">
        <v>340.53</v>
      </c>
      <c r="E20" s="3">
        <v>313.68</v>
      </c>
      <c r="F20" s="3">
        <v>408.06</v>
      </c>
      <c r="G20" s="3">
        <v>572.61</v>
      </c>
      <c r="H20" s="3"/>
      <c r="I20" s="3">
        <v>674.83</v>
      </c>
      <c r="J20" s="3">
        <v>541.41999999999996</v>
      </c>
      <c r="K20" s="3">
        <v>587.21</v>
      </c>
    </row>
    <row r="21" spans="1:11" x14ac:dyDescent="0.2">
      <c r="A21" s="2" t="s">
        <v>16</v>
      </c>
      <c r="B21" s="3">
        <v>897.84</v>
      </c>
      <c r="C21" s="3">
        <v>949.86</v>
      </c>
      <c r="D21" s="3">
        <v>1028.55</v>
      </c>
      <c r="E21" s="3">
        <v>1040.3599999999999</v>
      </c>
      <c r="F21" s="3">
        <v>1349.48</v>
      </c>
      <c r="G21" s="3">
        <v>1603.48</v>
      </c>
      <c r="H21" s="3"/>
      <c r="I21" s="3">
        <v>1935.4</v>
      </c>
      <c r="J21" s="3">
        <v>1582.45</v>
      </c>
      <c r="K21" s="3">
        <v>1816.29</v>
      </c>
    </row>
    <row r="22" spans="1:11" x14ac:dyDescent="0.2">
      <c r="A22" s="2" t="s">
        <v>17</v>
      </c>
      <c r="B22" s="3">
        <v>1017.45</v>
      </c>
      <c r="C22" s="3">
        <v>1124.1500000000001</v>
      </c>
      <c r="D22" s="3">
        <v>1258.17</v>
      </c>
      <c r="E22" s="3">
        <v>1500.95</v>
      </c>
      <c r="F22" s="3">
        <v>1529.94</v>
      </c>
      <c r="G22" s="3">
        <v>1635.46</v>
      </c>
      <c r="H22" s="3">
        <v>1849.18</v>
      </c>
      <c r="I22" s="3">
        <v>2336.06</v>
      </c>
      <c r="J22" s="3">
        <v>2062.02</v>
      </c>
      <c r="K22" s="3">
        <v>2278.41</v>
      </c>
    </row>
    <row r="23" spans="1:11" x14ac:dyDescent="0.2">
      <c r="A23" s="2" t="s">
        <v>18</v>
      </c>
      <c r="B23" s="3">
        <v>1823.98</v>
      </c>
      <c r="C23" s="3">
        <v>2145.8200000000002</v>
      </c>
      <c r="D23" s="3">
        <v>2226.13</v>
      </c>
      <c r="E23" s="3">
        <v>2246.9</v>
      </c>
      <c r="F23" s="3">
        <v>2902.12</v>
      </c>
      <c r="G23" s="3">
        <v>3192.15</v>
      </c>
      <c r="H23" s="3"/>
      <c r="I23" s="3">
        <v>4837.58</v>
      </c>
      <c r="J23" s="3">
        <v>4126.54</v>
      </c>
      <c r="K23" s="3">
        <v>4780.8999999999996</v>
      </c>
    </row>
    <row r="24" spans="1:11" x14ac:dyDescent="0.2">
      <c r="A24" s="2" t="s">
        <v>19</v>
      </c>
      <c r="B24" s="3">
        <v>267.93</v>
      </c>
      <c r="C24" s="3">
        <v>287.39999999999998</v>
      </c>
      <c r="D24" s="3">
        <v>212.92</v>
      </c>
      <c r="E24" s="3">
        <v>214.23</v>
      </c>
      <c r="F24" s="3">
        <v>-245.08</v>
      </c>
      <c r="G24" s="3">
        <v>-223.18</v>
      </c>
      <c r="H24" s="3">
        <v>4373.42</v>
      </c>
      <c r="I24" s="3">
        <v>-388.53</v>
      </c>
      <c r="J24" s="3">
        <v>-389.17</v>
      </c>
      <c r="K24" s="3">
        <v>-560.9</v>
      </c>
    </row>
    <row r="25" spans="1:11" x14ac:dyDescent="0.2">
      <c r="A25" s="2" t="s">
        <v>20</v>
      </c>
      <c r="B25" s="3">
        <v>176.92</v>
      </c>
      <c r="C25" s="3">
        <v>258.92</v>
      </c>
      <c r="D25" s="3">
        <v>246.88</v>
      </c>
      <c r="E25" s="3">
        <v>145.85</v>
      </c>
      <c r="F25" s="3">
        <v>-112.38</v>
      </c>
      <c r="G25" s="3">
        <v>107.26</v>
      </c>
      <c r="H25" s="3">
        <v>115.5</v>
      </c>
      <c r="I25" s="3">
        <v>158.99</v>
      </c>
      <c r="J25" s="3">
        <v>352.06</v>
      </c>
      <c r="K25" s="3">
        <v>160.22999999999999</v>
      </c>
    </row>
    <row r="26" spans="1:11" x14ac:dyDescent="0.2">
      <c r="A26" s="2" t="s">
        <v>21</v>
      </c>
      <c r="B26" s="3">
        <v>342.25</v>
      </c>
      <c r="C26" s="3">
        <v>335.67</v>
      </c>
      <c r="D26" s="3">
        <v>370.15</v>
      </c>
      <c r="E26" s="3">
        <v>370.38</v>
      </c>
      <c r="F26" s="3">
        <v>391.02</v>
      </c>
      <c r="G26" s="3">
        <v>403.01</v>
      </c>
      <c r="H26" s="3">
        <v>428.91</v>
      </c>
      <c r="I26" s="3">
        <v>567.75</v>
      </c>
      <c r="J26" s="3">
        <v>539.91999999999996</v>
      </c>
      <c r="K26" s="3">
        <v>699.23</v>
      </c>
    </row>
    <row r="27" spans="1:11" ht="15" x14ac:dyDescent="0.25">
      <c r="A27" s="2" t="s">
        <v>22</v>
      </c>
      <c r="B27" s="3">
        <v>91.9</v>
      </c>
      <c r="C27" s="3">
        <v>111.95</v>
      </c>
      <c r="D27" s="3">
        <v>129.12</v>
      </c>
      <c r="E27" s="3">
        <v>164.18</v>
      </c>
      <c r="F27" s="3">
        <v>201.68</v>
      </c>
      <c r="G27" s="3">
        <v>154.57</v>
      </c>
      <c r="H27" s="3">
        <v>119.29</v>
      </c>
      <c r="I27" s="3">
        <v>145.49</v>
      </c>
      <c r="J27" s="7">
        <v>136</v>
      </c>
      <c r="K27" s="7">
        <v>158.31</v>
      </c>
    </row>
    <row r="28" spans="1:11" x14ac:dyDescent="0.2">
      <c r="A28" s="2" t="s">
        <v>23</v>
      </c>
      <c r="B28" s="3">
        <v>1839.3</v>
      </c>
      <c r="C28" s="3">
        <v>2428.9499999999998</v>
      </c>
      <c r="D28" s="3">
        <v>2673.49</v>
      </c>
      <c r="E28" s="3">
        <v>2812.79</v>
      </c>
      <c r="F28" s="3">
        <v>2857.32</v>
      </c>
      <c r="G28" s="3">
        <v>3255.97</v>
      </c>
      <c r="H28" s="3">
        <v>4038.29</v>
      </c>
      <c r="I28" s="3">
        <v>5288.87</v>
      </c>
      <c r="J28" s="3">
        <v>4447.47</v>
      </c>
      <c r="K28" s="3">
        <v>4609.6499999999996</v>
      </c>
    </row>
    <row r="29" spans="1:11" x14ac:dyDescent="0.2">
      <c r="A29" s="2" t="s">
        <v>24</v>
      </c>
      <c r="B29" s="3">
        <v>614.11</v>
      </c>
      <c r="C29" s="3">
        <v>822.02</v>
      </c>
      <c r="D29" s="3">
        <v>705.05</v>
      </c>
      <c r="E29" s="3">
        <v>730.36</v>
      </c>
      <c r="F29" s="3">
        <v>738.91</v>
      </c>
      <c r="G29" s="3">
        <v>865.45</v>
      </c>
      <c r="H29" s="3">
        <v>1039.6199999999999</v>
      </c>
      <c r="I29" s="3">
        <v>1356.03</v>
      </c>
      <c r="J29" s="3">
        <v>1132.97</v>
      </c>
      <c r="K29" s="3">
        <v>1065.05</v>
      </c>
    </row>
    <row r="30" spans="1:11" x14ac:dyDescent="0.2">
      <c r="A30" s="2" t="s">
        <v>25</v>
      </c>
      <c r="B30" s="3">
        <v>1225.19</v>
      </c>
      <c r="C30" s="3">
        <v>1606.93</v>
      </c>
      <c r="D30" s="3">
        <v>1968.44</v>
      </c>
      <c r="E30" s="3">
        <v>2082.4299999999998</v>
      </c>
      <c r="F30" s="3">
        <v>2118.41</v>
      </c>
      <c r="G30" s="3">
        <v>2390.52</v>
      </c>
      <c r="H30" s="3">
        <v>2998.67</v>
      </c>
      <c r="I30" s="3">
        <v>3932.84</v>
      </c>
      <c r="J30" s="3">
        <v>3314.5</v>
      </c>
      <c r="K30" s="3">
        <v>3544.6</v>
      </c>
    </row>
    <row r="31" spans="1:11" x14ac:dyDescent="0.2">
      <c r="A31" s="2" t="s">
        <v>26</v>
      </c>
      <c r="B31" s="3">
        <v>829.21</v>
      </c>
      <c r="C31" s="3">
        <v>1108.83</v>
      </c>
      <c r="D31" s="3">
        <v>3297.56</v>
      </c>
      <c r="E31" s="3">
        <v>1928.4</v>
      </c>
      <c r="F31" s="3">
        <v>1928.4</v>
      </c>
      <c r="G31" s="3">
        <v>2121.2399999999998</v>
      </c>
      <c r="H31" s="3">
        <v>1677.71</v>
      </c>
      <c r="I31" s="3">
        <v>3104.72</v>
      </c>
      <c r="J31" s="3">
        <v>2603.34</v>
      </c>
      <c r="K31" s="3">
        <v>2313.96</v>
      </c>
    </row>
    <row r="32" spans="1:11" x14ac:dyDescent="0.2">
      <c r="A32" s="2" t="s">
        <v>27</v>
      </c>
      <c r="B32" s="8">
        <f>B29/B28</f>
        <v>0.33388245528190075</v>
      </c>
      <c r="C32" s="8">
        <f t="shared" ref="C32:K32" si="0">C29/C28</f>
        <v>0.33842606887749854</v>
      </c>
      <c r="D32" s="8">
        <f t="shared" si="0"/>
        <v>0.26371895911336868</v>
      </c>
      <c r="E32" s="8">
        <f t="shared" si="0"/>
        <v>0.2596567820562502</v>
      </c>
      <c r="F32" s="8">
        <f t="shared" si="0"/>
        <v>0.25860246664706787</v>
      </c>
      <c r="G32" s="8">
        <f t="shared" si="0"/>
        <v>0.26580404610607594</v>
      </c>
      <c r="H32" s="8">
        <f t="shared" si="0"/>
        <v>0.25744064938377381</v>
      </c>
      <c r="I32" s="8">
        <f t="shared" si="0"/>
        <v>0.25639314258055124</v>
      </c>
      <c r="J32" s="8">
        <f t="shared" si="0"/>
        <v>0.25474483245530605</v>
      </c>
      <c r="K32" s="8">
        <f t="shared" si="0"/>
        <v>0.23104791036195807</v>
      </c>
    </row>
    <row r="34" spans="1:11" x14ac:dyDescent="0.2">
      <c r="A34" s="2" t="s">
        <v>28</v>
      </c>
      <c r="B34" s="2">
        <f>+B30+B29+B27+B26</f>
        <v>2273.4500000000003</v>
      </c>
      <c r="C34" s="2">
        <f t="shared" ref="C34:K34" si="1">+C30+C29+C27+C26</f>
        <v>2876.5699999999997</v>
      </c>
      <c r="D34" s="2">
        <f t="shared" si="1"/>
        <v>3172.7599999999998</v>
      </c>
      <c r="E34" s="2">
        <f t="shared" si="1"/>
        <v>3347.35</v>
      </c>
      <c r="F34" s="2">
        <f t="shared" si="1"/>
        <v>3450.0199999999995</v>
      </c>
      <c r="G34" s="2">
        <f t="shared" si="1"/>
        <v>3813.55</v>
      </c>
      <c r="H34" s="2">
        <f t="shared" si="1"/>
        <v>4586.49</v>
      </c>
      <c r="I34" s="2">
        <f t="shared" si="1"/>
        <v>6002.11</v>
      </c>
      <c r="J34" s="2">
        <f t="shared" si="1"/>
        <v>5123.3900000000003</v>
      </c>
      <c r="K34" s="2">
        <f t="shared" si="1"/>
        <v>5467.1900000000005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2">
      <c r="A42" s="2" t="s">
        <v>12</v>
      </c>
      <c r="B42" s="3">
        <v>4600.42</v>
      </c>
      <c r="C42" s="3">
        <v>5267.59</v>
      </c>
      <c r="D42" s="3">
        <v>4813.95</v>
      </c>
      <c r="E42" s="3">
        <v>5104</v>
      </c>
      <c r="F42" s="3">
        <v>4779.7299999999996</v>
      </c>
      <c r="G42" s="3">
        <v>5503.88</v>
      </c>
      <c r="H42" s="3">
        <v>5096.16</v>
      </c>
      <c r="I42" s="3">
        <v>5643.61</v>
      </c>
      <c r="J42" s="3">
        <v>5667.04</v>
      </c>
      <c r="K42" s="3">
        <v>6747.79</v>
      </c>
    </row>
    <row r="43" spans="1:11" x14ac:dyDescent="0.2">
      <c r="A43" s="2" t="s">
        <v>30</v>
      </c>
      <c r="B43" s="3">
        <v>3505.3</v>
      </c>
      <c r="C43" s="3">
        <v>3917.54</v>
      </c>
      <c r="D43" s="3">
        <v>3699.62</v>
      </c>
      <c r="E43" s="3">
        <v>3936.27</v>
      </c>
      <c r="F43" s="3">
        <v>3677.04</v>
      </c>
      <c r="G43" s="3">
        <v>4115.58</v>
      </c>
      <c r="H43" s="3">
        <v>3995.9</v>
      </c>
      <c r="I43" s="3">
        <v>4406.97</v>
      </c>
      <c r="J43" s="3">
        <v>4466.09</v>
      </c>
      <c r="K43" s="3">
        <v>4976.1899999999996</v>
      </c>
    </row>
    <row r="44" spans="1:11" x14ac:dyDescent="0.2">
      <c r="A44" s="2" t="s">
        <v>20</v>
      </c>
      <c r="B44" s="3">
        <v>-77</v>
      </c>
      <c r="C44" s="3">
        <v>36.83</v>
      </c>
      <c r="D44" s="3">
        <v>39.119999999999997</v>
      </c>
      <c r="E44" s="3">
        <v>297.68</v>
      </c>
      <c r="F44" s="3">
        <v>4.4400000000000004</v>
      </c>
      <c r="G44" s="3">
        <v>9.1</v>
      </c>
      <c r="H44" s="3">
        <v>4.04</v>
      </c>
      <c r="I44" s="3">
        <v>1.64</v>
      </c>
      <c r="J44" s="3">
        <v>169.78</v>
      </c>
      <c r="K44" s="3">
        <v>-17.72</v>
      </c>
    </row>
    <row r="45" spans="1:11" x14ac:dyDescent="0.2">
      <c r="A45" s="2" t="s">
        <v>21</v>
      </c>
      <c r="B45" s="3">
        <v>108.69</v>
      </c>
      <c r="C45" s="3">
        <v>110.1</v>
      </c>
      <c r="D45" s="3">
        <v>112.71</v>
      </c>
      <c r="E45" s="3">
        <v>121.6</v>
      </c>
      <c r="F45" s="3">
        <v>150.27000000000001</v>
      </c>
      <c r="G45" s="3">
        <v>155.34</v>
      </c>
      <c r="H45" s="3">
        <v>156.94</v>
      </c>
      <c r="I45" s="3">
        <v>163.35</v>
      </c>
      <c r="J45" s="3">
        <v>174.41</v>
      </c>
      <c r="K45" s="3">
        <v>204.53</v>
      </c>
    </row>
    <row r="46" spans="1:11" ht="15" x14ac:dyDescent="0.25">
      <c r="A46" s="2" t="s">
        <v>22</v>
      </c>
      <c r="B46" s="7">
        <v>22.95</v>
      </c>
      <c r="C46" s="7">
        <v>26.2</v>
      </c>
      <c r="D46" s="7">
        <v>31.68</v>
      </c>
      <c r="E46" s="7">
        <v>32.22</v>
      </c>
      <c r="F46" s="7">
        <v>34.6</v>
      </c>
      <c r="G46" s="7">
        <v>37.5</v>
      </c>
      <c r="H46" s="7">
        <v>46.89</v>
      </c>
      <c r="I46" s="7">
        <v>46.41</v>
      </c>
      <c r="J46" s="7">
        <v>28.25</v>
      </c>
      <c r="K46" s="7">
        <v>36.76</v>
      </c>
    </row>
    <row r="47" spans="1:11" x14ac:dyDescent="0.2">
      <c r="A47" s="2" t="s">
        <v>23</v>
      </c>
      <c r="B47" s="3">
        <v>886.48</v>
      </c>
      <c r="C47" s="3">
        <v>1250.58</v>
      </c>
      <c r="D47" s="3">
        <v>1009.06</v>
      </c>
      <c r="E47" s="3">
        <v>1311.59</v>
      </c>
      <c r="F47" s="3">
        <v>922.26</v>
      </c>
      <c r="G47" s="3">
        <v>1204.56</v>
      </c>
      <c r="H47" s="3">
        <v>900.47</v>
      </c>
      <c r="I47" s="3">
        <v>1028.52</v>
      </c>
      <c r="J47" s="3">
        <v>1168.07</v>
      </c>
      <c r="K47" s="3">
        <v>1512.59</v>
      </c>
    </row>
    <row r="48" spans="1:11" x14ac:dyDescent="0.2">
      <c r="A48" s="2" t="s">
        <v>24</v>
      </c>
      <c r="B48" s="3">
        <v>230.87</v>
      </c>
      <c r="C48" s="3">
        <v>316.41000000000003</v>
      </c>
      <c r="D48" s="3">
        <v>262.45999999999998</v>
      </c>
      <c r="E48" s="3">
        <v>325.23</v>
      </c>
      <c r="F48" s="3">
        <v>226.13</v>
      </c>
      <c r="G48" s="3">
        <v>319.14999999999998</v>
      </c>
      <c r="H48" s="3">
        <v>241.24</v>
      </c>
      <c r="I48" s="3">
        <v>275.32</v>
      </c>
      <c r="J48" s="3">
        <v>150.01</v>
      </c>
      <c r="K48" s="3">
        <v>398.48</v>
      </c>
    </row>
    <row r="49" spans="1:11" x14ac:dyDescent="0.2">
      <c r="A49" s="2" t="s">
        <v>25</v>
      </c>
      <c r="B49" s="3">
        <v>655.61</v>
      </c>
      <c r="C49" s="3">
        <v>934.17</v>
      </c>
      <c r="D49" s="3">
        <v>746.6</v>
      </c>
      <c r="E49" s="3">
        <v>986.36</v>
      </c>
      <c r="F49" s="3">
        <v>696.13</v>
      </c>
      <c r="G49" s="3">
        <v>885.41</v>
      </c>
      <c r="H49" s="3">
        <v>659.23</v>
      </c>
      <c r="I49" s="3">
        <v>753.2</v>
      </c>
      <c r="J49" s="3">
        <v>1018.06</v>
      </c>
      <c r="K49" s="3">
        <v>1114.1099999999999</v>
      </c>
    </row>
    <row r="50" spans="1:11" x14ac:dyDescent="0.2">
      <c r="A50" s="2" t="s">
        <v>31</v>
      </c>
      <c r="B50" s="3">
        <v>1095.1199999999999</v>
      </c>
      <c r="C50" s="3">
        <v>1350.05</v>
      </c>
      <c r="D50" s="3">
        <v>1114.33</v>
      </c>
      <c r="E50" s="3">
        <v>1167.73</v>
      </c>
      <c r="F50" s="3">
        <v>1102.69</v>
      </c>
      <c r="G50" s="3">
        <v>1388.3</v>
      </c>
      <c r="H50" s="3">
        <v>1100.26</v>
      </c>
      <c r="I50" s="3">
        <v>1236.6400000000001</v>
      </c>
      <c r="J50" s="3">
        <v>1200.95</v>
      </c>
      <c r="K50" s="3">
        <v>1771.6</v>
      </c>
    </row>
    <row r="51" spans="1:11" x14ac:dyDescent="0.2">
      <c r="A51" s="2" t="s">
        <v>28</v>
      </c>
      <c r="B51" s="2">
        <f>B49+B48+B46+B45</f>
        <v>1018.1200000000001</v>
      </c>
      <c r="C51" s="2">
        <f t="shared" ref="C51:K51" si="2">C49+C48+C46+C45</f>
        <v>1386.8799999999999</v>
      </c>
      <c r="D51" s="2">
        <f t="shared" si="2"/>
        <v>1153.45</v>
      </c>
      <c r="E51" s="2">
        <f t="shared" si="2"/>
        <v>1465.41</v>
      </c>
      <c r="F51" s="2">
        <f t="shared" si="2"/>
        <v>1107.1300000000001</v>
      </c>
      <c r="G51" s="2">
        <f t="shared" si="2"/>
        <v>1397.3999999999999</v>
      </c>
      <c r="H51" s="2">
        <f t="shared" si="2"/>
        <v>1104.3</v>
      </c>
      <c r="I51" s="2">
        <f t="shared" si="2"/>
        <v>1238.28</v>
      </c>
      <c r="J51" s="2">
        <f t="shared" si="2"/>
        <v>1370.73</v>
      </c>
      <c r="K51" s="2">
        <f t="shared" si="2"/>
        <v>1753.8799999999999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43100</v>
      </c>
      <c r="C56" s="5">
        <v>43465</v>
      </c>
      <c r="D56" s="5">
        <v>43830</v>
      </c>
      <c r="E56" s="5">
        <v>44196</v>
      </c>
      <c r="F56" s="5">
        <v>44561</v>
      </c>
      <c r="G56" s="5">
        <v>44926</v>
      </c>
      <c r="H56" s="5">
        <v>45291</v>
      </c>
      <c r="I56" s="5">
        <v>45382</v>
      </c>
      <c r="J56" s="5">
        <v>45747</v>
      </c>
      <c r="K56" s="5">
        <v>46112</v>
      </c>
    </row>
    <row r="57" spans="1:11" x14ac:dyDescent="0.2">
      <c r="A57" s="2" t="s">
        <v>33</v>
      </c>
      <c r="B57" s="3">
        <v>96.42</v>
      </c>
      <c r="C57" s="3">
        <v>96.42</v>
      </c>
      <c r="D57" s="3">
        <v>96.42</v>
      </c>
      <c r="E57" s="3">
        <v>96.42</v>
      </c>
      <c r="F57" s="3">
        <v>96.42</v>
      </c>
      <c r="G57" s="3">
        <v>96.42</v>
      </c>
      <c r="H57" s="3">
        <v>96.42</v>
      </c>
      <c r="I57" s="3">
        <v>96.42</v>
      </c>
      <c r="J57" s="3">
        <v>96.42</v>
      </c>
      <c r="K57" s="3">
        <v>192.83</v>
      </c>
    </row>
    <row r="58" spans="1:11" x14ac:dyDescent="0.2">
      <c r="A58" s="2" t="s">
        <v>34</v>
      </c>
      <c r="B58" s="3">
        <v>3324.17</v>
      </c>
      <c r="C58" s="3">
        <v>3577.32</v>
      </c>
      <c r="D58" s="3">
        <v>1822.45</v>
      </c>
      <c r="E58" s="3">
        <v>1922.92</v>
      </c>
      <c r="F58" s="3">
        <v>1849.96</v>
      </c>
      <c r="G58" s="3">
        <v>2362.75</v>
      </c>
      <c r="H58" s="3">
        <v>2362.75</v>
      </c>
      <c r="I58" s="3">
        <v>3244.47</v>
      </c>
      <c r="J58" s="3">
        <v>4020.73</v>
      </c>
      <c r="K58" s="3">
        <v>5116.41</v>
      </c>
    </row>
    <row r="59" spans="1:11" ht="15" x14ac:dyDescent="0.25">
      <c r="A59" s="2" t="s">
        <v>35</v>
      </c>
      <c r="B59" s="7">
        <v>35.14</v>
      </c>
      <c r="C59" s="7">
        <v>35.14</v>
      </c>
      <c r="D59" s="7">
        <v>188.94</v>
      </c>
      <c r="E59" s="7">
        <v>147.49</v>
      </c>
      <c r="F59" s="7">
        <v>266.45999999999998</v>
      </c>
      <c r="G59" s="7">
        <v>270.52</v>
      </c>
      <c r="H59" s="7">
        <v>270.52</v>
      </c>
      <c r="I59" s="7">
        <v>344.53</v>
      </c>
      <c r="J59" s="7">
        <v>1166.8499999999999</v>
      </c>
      <c r="K59" s="7">
        <v>444.16</v>
      </c>
    </row>
    <row r="60" spans="1:11" x14ac:dyDescent="0.2">
      <c r="A60" s="2" t="s">
        <v>36</v>
      </c>
      <c r="B60" s="3">
        <v>3906.86</v>
      </c>
      <c r="C60" s="3">
        <v>4379.2</v>
      </c>
      <c r="D60" s="3">
        <v>5065.13</v>
      </c>
      <c r="E60" s="3">
        <v>5732.9</v>
      </c>
      <c r="F60" s="3">
        <v>6021.29</v>
      </c>
      <c r="G60" s="3">
        <v>6249.05</v>
      </c>
      <c r="H60" s="3">
        <v>6249.05</v>
      </c>
      <c r="I60" s="3">
        <v>6837.64</v>
      </c>
      <c r="J60" s="3">
        <v>7039.89</v>
      </c>
      <c r="K60" s="3">
        <v>7603.77</v>
      </c>
    </row>
    <row r="61" spans="1:11" s="1" customFormat="1" x14ac:dyDescent="0.2">
      <c r="A61" s="1" t="s">
        <v>37</v>
      </c>
      <c r="B61" s="3">
        <v>7362.59</v>
      </c>
      <c r="C61" s="3">
        <v>8088.08</v>
      </c>
      <c r="D61" s="3">
        <v>7172.94</v>
      </c>
      <c r="E61" s="3">
        <v>7899.73</v>
      </c>
      <c r="F61" s="3">
        <v>8234.1299999999992</v>
      </c>
      <c r="G61" s="3">
        <v>8978.74</v>
      </c>
      <c r="H61" s="3">
        <v>8978.74</v>
      </c>
      <c r="I61" s="3">
        <v>10523.06</v>
      </c>
      <c r="J61" s="3">
        <v>12323.89</v>
      </c>
      <c r="K61" s="3">
        <v>13357.17</v>
      </c>
    </row>
    <row r="62" spans="1:11" x14ac:dyDescent="0.2">
      <c r="A62" s="2" t="s">
        <v>38</v>
      </c>
      <c r="B62" s="3">
        <v>2616.1799999999998</v>
      </c>
      <c r="C62" s="3">
        <v>2400.62</v>
      </c>
      <c r="D62" s="3">
        <v>2341.4499999999998</v>
      </c>
      <c r="E62" s="3">
        <v>2179.41</v>
      </c>
      <c r="F62" s="3">
        <v>2994.67</v>
      </c>
      <c r="G62" s="3">
        <v>3043.7</v>
      </c>
      <c r="H62" s="3">
        <v>3043.7</v>
      </c>
      <c r="I62" s="3">
        <v>3460.25</v>
      </c>
      <c r="J62" s="3">
        <v>5473.61</v>
      </c>
      <c r="K62" s="3">
        <v>6290.42</v>
      </c>
    </row>
    <row r="63" spans="1:11" x14ac:dyDescent="0.2">
      <c r="A63" s="2" t="s">
        <v>39</v>
      </c>
      <c r="B63" s="3">
        <v>94.16</v>
      </c>
      <c r="C63" s="3">
        <v>105.2</v>
      </c>
      <c r="D63" s="3">
        <v>143.30000000000001</v>
      </c>
      <c r="E63" s="3">
        <v>638.58000000000004</v>
      </c>
      <c r="F63" s="3">
        <v>246.23</v>
      </c>
      <c r="G63" s="3">
        <v>358.36</v>
      </c>
      <c r="H63" s="3">
        <v>358.36</v>
      </c>
      <c r="I63" s="3">
        <v>1741.71</v>
      </c>
      <c r="J63" s="3">
        <v>1172.56</v>
      </c>
      <c r="K63" s="3">
        <v>506.98</v>
      </c>
    </row>
    <row r="64" spans="1:11" ht="15" x14ac:dyDescent="0.25">
      <c r="A64" s="2" t="s">
        <v>40</v>
      </c>
      <c r="B64" s="3">
        <v>1978.87</v>
      </c>
      <c r="C64" s="7">
        <v>2658.49</v>
      </c>
      <c r="D64" s="3">
        <v>1751.05</v>
      </c>
      <c r="E64" s="3">
        <v>1463.77</v>
      </c>
      <c r="F64" s="3">
        <v>773.98</v>
      </c>
      <c r="G64" s="3">
        <v>777.54</v>
      </c>
      <c r="H64" s="3">
        <v>777.54</v>
      </c>
      <c r="I64" s="3">
        <v>463.87</v>
      </c>
      <c r="J64" s="3">
        <v>705.6</v>
      </c>
      <c r="K64" s="3">
        <v>705.6</v>
      </c>
    </row>
    <row r="65" spans="1:11" x14ac:dyDescent="0.2">
      <c r="A65" s="2" t="s">
        <v>41</v>
      </c>
      <c r="B65" s="3">
        <v>2673.38</v>
      </c>
      <c r="C65" s="3">
        <v>2923.77</v>
      </c>
      <c r="D65" s="3">
        <v>2937.14</v>
      </c>
      <c r="E65" s="3">
        <v>3617.97</v>
      </c>
      <c r="F65" s="3">
        <v>4219.25</v>
      </c>
      <c r="G65" s="3">
        <v>4799.1400000000003</v>
      </c>
      <c r="H65" s="3">
        <v>4799.1400000000003</v>
      </c>
      <c r="I65" s="3">
        <v>4857.2299999999996</v>
      </c>
      <c r="J65" s="3">
        <v>4972.12</v>
      </c>
      <c r="K65" s="3">
        <v>5854.17</v>
      </c>
    </row>
    <row r="66" spans="1:11" s="1" customFormat="1" x14ac:dyDescent="0.2">
      <c r="A66" s="1" t="s">
        <v>37</v>
      </c>
      <c r="B66" s="3">
        <v>7362.59</v>
      </c>
      <c r="C66" s="3">
        <v>8088.08</v>
      </c>
      <c r="D66" s="3">
        <v>7172.94</v>
      </c>
      <c r="E66" s="3">
        <v>7899.73</v>
      </c>
      <c r="F66" s="3">
        <v>8234.1299999999992</v>
      </c>
      <c r="G66" s="3">
        <v>8978.74</v>
      </c>
      <c r="H66" s="3">
        <v>8978.74</v>
      </c>
      <c r="I66" s="3">
        <v>10523.06</v>
      </c>
      <c r="J66" s="3">
        <v>12323.89</v>
      </c>
      <c r="K66" s="3">
        <v>13357.17</v>
      </c>
    </row>
    <row r="67" spans="1:11" x14ac:dyDescent="0.2">
      <c r="A67" s="2" t="s">
        <v>42</v>
      </c>
      <c r="B67" s="3">
        <v>88.97</v>
      </c>
      <c r="C67" s="3">
        <v>124.59</v>
      </c>
      <c r="D67" s="3">
        <v>124.33</v>
      </c>
      <c r="E67" s="3">
        <v>164.93</v>
      </c>
      <c r="F67" s="3">
        <v>165.97</v>
      </c>
      <c r="G67" s="3">
        <v>191.89</v>
      </c>
      <c r="H67" s="3">
        <v>191.89</v>
      </c>
      <c r="I67" s="3">
        <v>300.45999999999998</v>
      </c>
      <c r="J67" s="3">
        <v>363.15</v>
      </c>
      <c r="K67" s="3">
        <v>329.47</v>
      </c>
    </row>
    <row r="68" spans="1:11" ht="15" x14ac:dyDescent="0.25">
      <c r="A68" s="2" t="s">
        <v>43</v>
      </c>
      <c r="B68" s="7">
        <v>902.47</v>
      </c>
      <c r="C68" s="7">
        <v>965.55</v>
      </c>
      <c r="D68" s="7">
        <v>1283.07</v>
      </c>
      <c r="E68" s="7">
        <v>1416.48</v>
      </c>
      <c r="F68" s="7">
        <v>1592.65</v>
      </c>
      <c r="G68" s="7">
        <v>1928.77</v>
      </c>
      <c r="H68" s="7">
        <v>1928.77</v>
      </c>
      <c r="I68" s="7">
        <v>2089.36</v>
      </c>
      <c r="J68" s="7">
        <v>2850.14</v>
      </c>
      <c r="K68" s="7">
        <v>2569.2199999999998</v>
      </c>
    </row>
    <row r="69" spans="1:11" x14ac:dyDescent="0.2">
      <c r="A69" s="2" t="s">
        <v>44</v>
      </c>
      <c r="B69" s="3">
        <v>1457.42</v>
      </c>
      <c r="C69" s="3">
        <v>1610.06</v>
      </c>
      <c r="D69" s="3">
        <v>1308.05</v>
      </c>
      <c r="E69" s="3">
        <v>1769.87</v>
      </c>
      <c r="F69" s="3">
        <v>735.41</v>
      </c>
      <c r="G69" s="3">
        <v>945.55</v>
      </c>
      <c r="H69" s="3">
        <v>945.55</v>
      </c>
      <c r="I69" s="3">
        <v>778.85</v>
      </c>
      <c r="J69" s="3">
        <v>95.65</v>
      </c>
      <c r="K69" s="3">
        <v>1340.87</v>
      </c>
    </row>
    <row r="70" spans="1:11" x14ac:dyDescent="0.2">
      <c r="A70" s="2" t="s">
        <v>45</v>
      </c>
      <c r="B70" s="3">
        <v>96415716</v>
      </c>
      <c r="C70" s="3">
        <v>96415716</v>
      </c>
      <c r="D70" s="3">
        <v>96415716</v>
      </c>
      <c r="E70" s="3">
        <v>96415716</v>
      </c>
      <c r="F70" s="3">
        <v>96415716</v>
      </c>
      <c r="G70" s="3">
        <v>96415716</v>
      </c>
      <c r="H70" s="3"/>
      <c r="I70" s="3">
        <v>964157160</v>
      </c>
      <c r="J70" s="3">
        <v>964157160</v>
      </c>
      <c r="K70" s="3">
        <v>1928314320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>
        <v>10</v>
      </c>
      <c r="C72" s="3">
        <v>10</v>
      </c>
      <c r="D72" s="3">
        <v>10</v>
      </c>
      <c r="E72" s="3">
        <v>10</v>
      </c>
      <c r="F72" s="3">
        <v>10</v>
      </c>
      <c r="G72" s="3">
        <v>10</v>
      </c>
      <c r="H72" s="3">
        <v>10</v>
      </c>
      <c r="I72" s="3">
        <v>1</v>
      </c>
      <c r="J72" s="3">
        <v>1</v>
      </c>
      <c r="K72" s="3">
        <v>1</v>
      </c>
    </row>
    <row r="73" spans="1:11" x14ac:dyDescent="0.2">
      <c r="H73" s="2">
        <f>H62-G62+H45</f>
        <v>156.94</v>
      </c>
      <c r="I73" s="2">
        <f t="shared" ref="I73:K73" si="3">I62-H62+I45</f>
        <v>579.9000000000002</v>
      </c>
      <c r="J73" s="2">
        <f t="shared" si="3"/>
        <v>2187.7699999999995</v>
      </c>
      <c r="K73" s="2">
        <f t="shared" si="3"/>
        <v>1021.3400000000004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43100</v>
      </c>
      <c r="C81" s="5">
        <v>43465</v>
      </c>
      <c r="D81" s="5">
        <v>43830</v>
      </c>
      <c r="E81" s="5">
        <v>44196</v>
      </c>
      <c r="F81" s="5">
        <v>44561</v>
      </c>
      <c r="G81" s="5">
        <v>44926</v>
      </c>
      <c r="H81" s="5">
        <v>45291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">
      <c r="A82" s="2" t="s">
        <v>49</v>
      </c>
      <c r="B82" s="3">
        <v>1817.79</v>
      </c>
      <c r="C82" s="3">
        <v>2052.4499999999998</v>
      </c>
      <c r="D82" s="3">
        <v>2295.25</v>
      </c>
      <c r="E82" s="3">
        <v>2454.48</v>
      </c>
      <c r="F82" s="3">
        <v>2236</v>
      </c>
      <c r="G82" s="3">
        <v>2737.43</v>
      </c>
      <c r="H82" s="3">
        <v>3392.19</v>
      </c>
      <c r="I82" s="3">
        <v>4174.79</v>
      </c>
      <c r="J82" s="3">
        <v>2934.53</v>
      </c>
      <c r="K82" s="3">
        <v>5047.5600000000004</v>
      </c>
    </row>
    <row r="83" spans="1:12" x14ac:dyDescent="0.2">
      <c r="A83" s="2" t="s">
        <v>50</v>
      </c>
      <c r="B83" s="3">
        <v>-130.56</v>
      </c>
      <c r="C83" s="3">
        <v>-52.41</v>
      </c>
      <c r="D83" s="3">
        <v>82.99</v>
      </c>
      <c r="E83" s="3">
        <v>-321.45999999999998</v>
      </c>
      <c r="F83" s="3">
        <v>-1920.33</v>
      </c>
      <c r="G83" s="3">
        <v>-391.73</v>
      </c>
      <c r="H83" s="3">
        <v>-926.99</v>
      </c>
      <c r="I83" s="3">
        <v>-1237.42</v>
      </c>
      <c r="J83" s="3">
        <v>-1810.9</v>
      </c>
      <c r="K83" s="3">
        <v>-623.67999999999995</v>
      </c>
    </row>
    <row r="84" spans="1:12" x14ac:dyDescent="0.2">
      <c r="A84" s="2" t="s">
        <v>51</v>
      </c>
      <c r="B84" s="3">
        <v>-996.62</v>
      </c>
      <c r="C84" s="3">
        <v>-1317.42</v>
      </c>
      <c r="D84" s="3">
        <v>-3601.53</v>
      </c>
      <c r="E84" s="3">
        <v>-1955.89</v>
      </c>
      <c r="F84" s="3">
        <v>-2019.97</v>
      </c>
      <c r="G84" s="3">
        <v>-2122.7399999999998</v>
      </c>
      <c r="H84" s="3">
        <v>-2436.4699999999998</v>
      </c>
      <c r="I84" s="3">
        <v>-3134.92</v>
      </c>
      <c r="J84" s="3">
        <v>-1846.3</v>
      </c>
      <c r="K84" s="3">
        <v>-3179.49</v>
      </c>
    </row>
    <row r="85" spans="1:12" s="1" customFormat="1" x14ac:dyDescent="0.2">
      <c r="A85" s="2" t="s">
        <v>52</v>
      </c>
      <c r="B85" s="3">
        <v>690.61</v>
      </c>
      <c r="C85" s="3">
        <v>682.62</v>
      </c>
      <c r="D85" s="3">
        <v>-1223.29</v>
      </c>
      <c r="E85" s="3">
        <v>177.13</v>
      </c>
      <c r="F85" s="3">
        <v>-1704.3</v>
      </c>
      <c r="G85" s="3">
        <v>222.96</v>
      </c>
      <c r="H85" s="3">
        <v>28.73</v>
      </c>
      <c r="I85" s="3">
        <v>-197.55</v>
      </c>
      <c r="J85" s="3">
        <v>-722.67</v>
      </c>
      <c r="K85" s="3">
        <v>1244.3900000000001</v>
      </c>
    </row>
    <row r="90" spans="1:12" s="1" customFormat="1" x14ac:dyDescent="0.2">
      <c r="A90" s="1" t="s">
        <v>53</v>
      </c>
      <c r="B90" s="3">
        <v>393.55</v>
      </c>
      <c r="C90" s="3">
        <v>554.24</v>
      </c>
      <c r="D90" s="3">
        <v>739.27</v>
      </c>
      <c r="E90" s="3">
        <v>919.51</v>
      </c>
      <c r="F90" s="3">
        <v>985.29</v>
      </c>
      <c r="G90" s="3">
        <v>980.3</v>
      </c>
      <c r="H90" s="3">
        <v>1329.02</v>
      </c>
      <c r="I90" s="3">
        <v>1311.18</v>
      </c>
      <c r="J90" s="3">
        <v>1125.3800000000001</v>
      </c>
      <c r="K90" s="3">
        <v>1174.8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>
        <v>192.8</v>
      </c>
      <c r="C93" s="10">
        <v>192.8</v>
      </c>
      <c r="D93" s="10">
        <v>192.8</v>
      </c>
      <c r="E93" s="10">
        <v>192.8</v>
      </c>
      <c r="F93" s="10">
        <v>192.8</v>
      </c>
      <c r="G93" s="10">
        <v>192.8</v>
      </c>
      <c r="H93" s="10">
        <v>192.8</v>
      </c>
      <c r="I93" s="10">
        <v>192.83</v>
      </c>
      <c r="J93" s="10">
        <v>192.83</v>
      </c>
      <c r="K93" s="10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35927F9-9722-406D-B25D-1C1FBBD149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B9A7-7747-4A10-AB70-003FF607F99D}">
  <sheetPr>
    <tabColor theme="8" tint="0.39997558519241921"/>
  </sheetPr>
  <dimension ref="B3:I34"/>
  <sheetViews>
    <sheetView workbookViewId="0">
      <selection activeCell="K18" sqref="K18"/>
    </sheetView>
  </sheetViews>
  <sheetFormatPr defaultRowHeight="15" x14ac:dyDescent="0.25"/>
  <cols>
    <col min="2" max="2" width="36.85546875" bestFit="1" customWidth="1"/>
    <col min="4" max="6" width="9.7109375" bestFit="1" customWidth="1"/>
    <col min="7" max="9" width="10.5703125" bestFit="1" customWidth="1"/>
  </cols>
  <sheetData>
    <row r="3" spans="2:9" ht="15.75" thickBot="1" x14ac:dyDescent="0.3">
      <c r="B3" s="41"/>
      <c r="C3" s="41">
        <v>44256</v>
      </c>
      <c r="D3" s="41">
        <v>44621</v>
      </c>
      <c r="E3" s="41">
        <v>44986</v>
      </c>
      <c r="F3" s="41">
        <v>45352</v>
      </c>
      <c r="G3" s="41">
        <v>45717</v>
      </c>
      <c r="H3" s="41">
        <v>46082</v>
      </c>
      <c r="I3" s="40"/>
    </row>
    <row r="4" spans="2:9" ht="16.5" thickTop="1" thickBot="1" x14ac:dyDescent="0.3">
      <c r="B4" s="42" t="s">
        <v>128</v>
      </c>
      <c r="C4" s="43">
        <v>7623</v>
      </c>
      <c r="D4" s="43">
        <v>9163</v>
      </c>
      <c r="E4" s="43">
        <v>9048</v>
      </c>
      <c r="F4" s="43">
        <v>9991</v>
      </c>
      <c r="G4" s="43">
        <v>15469</v>
      </c>
      <c r="H4" s="43">
        <v>11886</v>
      </c>
      <c r="I4" s="43">
        <v>10999</v>
      </c>
    </row>
    <row r="5" spans="2:9" ht="15.75" thickTop="1" x14ac:dyDescent="0.25">
      <c r="B5" s="44" t="s">
        <v>110</v>
      </c>
      <c r="C5" s="43">
        <v>9723</v>
      </c>
      <c r="D5" s="43">
        <v>11672</v>
      </c>
      <c r="E5" s="43">
        <v>12829</v>
      </c>
      <c r="F5" s="43">
        <v>14089</v>
      </c>
      <c r="G5" s="43">
        <v>14537</v>
      </c>
      <c r="H5" s="43">
        <v>14942</v>
      </c>
      <c r="I5" s="43">
        <v>15153</v>
      </c>
    </row>
    <row r="6" spans="2:9" x14ac:dyDescent="0.25">
      <c r="B6" s="45" t="s">
        <v>42</v>
      </c>
      <c r="C6" s="46">
        <v>0</v>
      </c>
      <c r="D6" s="46">
        <v>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</row>
    <row r="7" spans="2:9" x14ac:dyDescent="0.25">
      <c r="B7" s="45" t="s">
        <v>43</v>
      </c>
      <c r="C7" s="46">
        <v>-331</v>
      </c>
      <c r="D7" s="46">
        <v>-543</v>
      </c>
      <c r="E7" s="46">
        <v>-758</v>
      </c>
      <c r="F7" s="46">
        <v>-339</v>
      </c>
      <c r="G7" s="46">
        <v>74</v>
      </c>
      <c r="H7" s="46">
        <v>-584</v>
      </c>
      <c r="I7" s="46">
        <v>-692</v>
      </c>
    </row>
    <row r="8" spans="2:9" x14ac:dyDescent="0.25">
      <c r="B8" s="45" t="s">
        <v>111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</row>
    <row r="9" spans="2:9" x14ac:dyDescent="0.25">
      <c r="B9" s="45" t="s">
        <v>112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</row>
    <row r="10" spans="2:9" ht="15.75" thickBot="1" x14ac:dyDescent="0.3">
      <c r="B10" s="45" t="s">
        <v>113</v>
      </c>
      <c r="C10" s="46">
        <v>742</v>
      </c>
      <c r="D10" s="46">
        <v>442</v>
      </c>
      <c r="E10" s="46">
        <v>-242</v>
      </c>
      <c r="F10" s="46">
        <v>-621</v>
      </c>
      <c r="G10" s="47">
        <v>1239</v>
      </c>
      <c r="H10" s="46">
        <v>-204</v>
      </c>
      <c r="I10" s="47">
        <v>1378</v>
      </c>
    </row>
    <row r="11" spans="2:9" ht="15.75" thickTop="1" x14ac:dyDescent="0.25">
      <c r="B11" s="44" t="s">
        <v>114</v>
      </c>
      <c r="C11" s="48">
        <v>411</v>
      </c>
      <c r="D11" s="48">
        <v>-101</v>
      </c>
      <c r="E11" s="43">
        <v>-1000</v>
      </c>
      <c r="F11" s="48">
        <v>-960</v>
      </c>
      <c r="G11" s="43">
        <v>1313</v>
      </c>
      <c r="H11" s="48">
        <v>-788</v>
      </c>
      <c r="I11" s="48">
        <v>686</v>
      </c>
    </row>
    <row r="12" spans="2:9" x14ac:dyDescent="0.25">
      <c r="B12" s="45" t="s">
        <v>115</v>
      </c>
      <c r="C12" s="47">
        <v>-2505</v>
      </c>
      <c r="D12" s="47">
        <v>-2407</v>
      </c>
      <c r="E12" s="47">
        <v>-2784</v>
      </c>
      <c r="F12" s="47">
        <v>-3138</v>
      </c>
      <c r="G12" s="46">
        <v>-381</v>
      </c>
      <c r="H12" s="47">
        <v>-2268</v>
      </c>
      <c r="I12" s="47">
        <v>-4840</v>
      </c>
    </row>
    <row r="13" spans="2:9" x14ac:dyDescent="0.25">
      <c r="B13" s="45" t="s">
        <v>129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</row>
    <row r="14" spans="2:9" ht="15.75" thickBot="1" x14ac:dyDescent="0.3">
      <c r="B14" s="45" t="s">
        <v>130</v>
      </c>
      <c r="C14" s="46">
        <v>-6</v>
      </c>
      <c r="D14" s="46">
        <v>-1</v>
      </c>
      <c r="E14" s="46">
        <v>3</v>
      </c>
      <c r="F14" s="46">
        <v>0</v>
      </c>
      <c r="G14" s="46">
        <v>0</v>
      </c>
      <c r="H14" s="46">
        <v>0</v>
      </c>
      <c r="I14" s="46">
        <v>0</v>
      </c>
    </row>
    <row r="15" spans="2:9" ht="15.75" thickTop="1" x14ac:dyDescent="0.25">
      <c r="B15" s="49" t="s">
        <v>131</v>
      </c>
      <c r="C15" s="51">
        <v>1791</v>
      </c>
      <c r="D15" s="51">
        <v>-1228</v>
      </c>
      <c r="E15" s="51">
        <v>-1728</v>
      </c>
      <c r="F15" s="51">
        <v>-1484</v>
      </c>
      <c r="G15" s="51">
        <v>-5324</v>
      </c>
      <c r="H15" s="51">
        <v>6473</v>
      </c>
      <c r="I15" s="51">
        <v>-3676</v>
      </c>
    </row>
    <row r="16" spans="2:9" x14ac:dyDescent="0.25">
      <c r="B16" s="52" t="s">
        <v>118</v>
      </c>
      <c r="C16" s="53">
        <v>-862</v>
      </c>
      <c r="D16" s="54">
        <v>-4163</v>
      </c>
      <c r="E16" s="54">
        <v>-1228</v>
      </c>
      <c r="F16" s="54">
        <v>-1192</v>
      </c>
      <c r="G16" s="54">
        <v>-1477</v>
      </c>
      <c r="H16" s="54">
        <v>-1275</v>
      </c>
      <c r="I16" s="54">
        <v>-1361</v>
      </c>
    </row>
    <row r="17" spans="2:9" x14ac:dyDescent="0.25">
      <c r="B17" s="52" t="s">
        <v>119</v>
      </c>
      <c r="C17" s="53">
        <v>52</v>
      </c>
      <c r="D17" s="53">
        <v>97</v>
      </c>
      <c r="E17" s="53">
        <v>175</v>
      </c>
      <c r="F17" s="53">
        <v>181</v>
      </c>
      <c r="G17" s="53">
        <v>20</v>
      </c>
      <c r="H17" s="53">
        <v>13</v>
      </c>
      <c r="I17" s="53">
        <v>29</v>
      </c>
    </row>
    <row r="18" spans="2:9" x14ac:dyDescent="0.25">
      <c r="B18" s="52" t="s">
        <v>120</v>
      </c>
      <c r="C18" s="54">
        <v>-36090</v>
      </c>
      <c r="D18" s="54">
        <v>-39920</v>
      </c>
      <c r="E18" s="54">
        <v>-48522</v>
      </c>
      <c r="F18" s="54">
        <v>-22649</v>
      </c>
      <c r="G18" s="54">
        <v>-21337</v>
      </c>
      <c r="H18" s="54">
        <v>-22957</v>
      </c>
      <c r="I18" s="54">
        <v>-25529</v>
      </c>
    </row>
    <row r="19" spans="2:9" x14ac:dyDescent="0.25">
      <c r="B19" s="52" t="s">
        <v>121</v>
      </c>
      <c r="C19" s="54">
        <v>37690</v>
      </c>
      <c r="D19" s="54">
        <v>38486</v>
      </c>
      <c r="E19" s="54">
        <v>47786</v>
      </c>
      <c r="F19" s="54">
        <v>23462</v>
      </c>
      <c r="G19" s="54">
        <v>19846</v>
      </c>
      <c r="H19" s="54">
        <v>23987</v>
      </c>
      <c r="I19" s="54">
        <v>25117</v>
      </c>
    </row>
    <row r="20" spans="2:9" x14ac:dyDescent="0.25">
      <c r="B20" s="52" t="s">
        <v>122</v>
      </c>
      <c r="C20" s="53">
        <v>351</v>
      </c>
      <c r="D20" s="53">
        <v>277</v>
      </c>
      <c r="E20" s="53">
        <v>161</v>
      </c>
      <c r="F20" s="53">
        <v>259</v>
      </c>
      <c r="G20" s="53">
        <v>425</v>
      </c>
      <c r="H20" s="53">
        <v>835</v>
      </c>
      <c r="I20" s="53">
        <v>428</v>
      </c>
    </row>
    <row r="21" spans="2:9" x14ac:dyDescent="0.25">
      <c r="B21" s="52" t="s">
        <v>123</v>
      </c>
      <c r="C21" s="53">
        <v>1</v>
      </c>
      <c r="D21" s="53">
        <v>1</v>
      </c>
      <c r="E21" s="53">
        <v>1</v>
      </c>
      <c r="F21" s="53">
        <v>2</v>
      </c>
      <c r="G21" s="53">
        <v>3</v>
      </c>
      <c r="H21" s="53">
        <v>0</v>
      </c>
      <c r="I21" s="53">
        <v>5</v>
      </c>
    </row>
    <row r="22" spans="2:9" x14ac:dyDescent="0.25">
      <c r="B22" s="52" t="s">
        <v>124</v>
      </c>
      <c r="C22" s="53">
        <v>0</v>
      </c>
      <c r="D22" s="53">
        <v>0</v>
      </c>
      <c r="E22" s="53">
        <v>0</v>
      </c>
      <c r="F22" s="53">
        <v>-334</v>
      </c>
      <c r="G22" s="53">
        <v>0</v>
      </c>
      <c r="H22" s="53">
        <v>0</v>
      </c>
      <c r="I22" s="53">
        <v>0</v>
      </c>
    </row>
    <row r="23" spans="2:9" ht="15.75" thickBot="1" x14ac:dyDescent="0.3">
      <c r="B23" s="52" t="s">
        <v>125</v>
      </c>
      <c r="C23" s="53">
        <v>649</v>
      </c>
      <c r="D23" s="54">
        <v>3994</v>
      </c>
      <c r="E23" s="53">
        <v>-101</v>
      </c>
      <c r="F23" s="54">
        <v>-1213</v>
      </c>
      <c r="G23" s="54">
        <v>-2804</v>
      </c>
      <c r="H23" s="54">
        <v>5870</v>
      </c>
      <c r="I23" s="54">
        <v>-2663</v>
      </c>
    </row>
    <row r="24" spans="2:9" ht="15.75" thickTop="1" x14ac:dyDescent="0.25">
      <c r="B24" s="42" t="s">
        <v>132</v>
      </c>
      <c r="C24" s="43">
        <v>-6819</v>
      </c>
      <c r="D24" s="43">
        <v>-9309</v>
      </c>
      <c r="E24" s="43">
        <v>-8015</v>
      </c>
      <c r="F24" s="43">
        <v>-8953</v>
      </c>
      <c r="G24" s="43">
        <v>-10034</v>
      </c>
      <c r="H24" s="43">
        <v>-13101</v>
      </c>
      <c r="I24" s="43">
        <v>-10810</v>
      </c>
    </row>
    <row r="25" spans="2:9" x14ac:dyDescent="0.25">
      <c r="B25" s="45" t="s">
        <v>133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</row>
    <row r="26" spans="2:9" x14ac:dyDescent="0.25">
      <c r="B26" s="45" t="s">
        <v>134</v>
      </c>
      <c r="C26" s="46">
        <v>0</v>
      </c>
      <c r="D26" s="46">
        <v>188</v>
      </c>
      <c r="E26" s="46">
        <v>55</v>
      </c>
      <c r="F26" s="46">
        <v>286</v>
      </c>
      <c r="G26" s="46">
        <v>0</v>
      </c>
      <c r="H26" s="46">
        <v>0</v>
      </c>
      <c r="I26" s="46">
        <v>0</v>
      </c>
    </row>
    <row r="27" spans="2:9" x14ac:dyDescent="0.25">
      <c r="B27" s="45" t="s">
        <v>135</v>
      </c>
      <c r="C27" s="46">
        <v>-99</v>
      </c>
      <c r="D27" s="46">
        <v>-188</v>
      </c>
      <c r="E27" s="46">
        <v>-55</v>
      </c>
      <c r="F27" s="46">
        <v>-208</v>
      </c>
      <c r="G27" s="46">
        <v>-85</v>
      </c>
      <c r="H27" s="46">
        <v>0</v>
      </c>
      <c r="I27" s="46">
        <v>-46</v>
      </c>
    </row>
    <row r="28" spans="2:9" x14ac:dyDescent="0.25">
      <c r="B28" s="45" t="s">
        <v>136</v>
      </c>
      <c r="C28" s="46">
        <v>-90</v>
      </c>
      <c r="D28" s="46">
        <v>-92</v>
      </c>
      <c r="E28" s="46">
        <v>-82</v>
      </c>
      <c r="F28" s="46">
        <v>-88</v>
      </c>
      <c r="G28" s="46">
        <v>-110</v>
      </c>
      <c r="H28" s="46">
        <v>-130</v>
      </c>
      <c r="I28" s="46">
        <v>-133</v>
      </c>
    </row>
    <row r="29" spans="2:9" x14ac:dyDescent="0.25">
      <c r="B29" s="45" t="s">
        <v>137</v>
      </c>
      <c r="C29" s="47">
        <v>-5196</v>
      </c>
      <c r="D29" s="47">
        <v>-8811</v>
      </c>
      <c r="E29" s="47">
        <v>-7526</v>
      </c>
      <c r="F29" s="47">
        <v>-8474</v>
      </c>
      <c r="G29" s="47">
        <v>-9416</v>
      </c>
      <c r="H29" s="47">
        <v>-12473</v>
      </c>
      <c r="I29" s="47">
        <v>-10124</v>
      </c>
    </row>
    <row r="30" spans="2:9" x14ac:dyDescent="0.25">
      <c r="B30" s="45" t="s">
        <v>138</v>
      </c>
      <c r="C30" s="46">
        <v>-373</v>
      </c>
      <c r="D30" s="46">
        <v>-406</v>
      </c>
      <c r="E30" s="46">
        <v>-407</v>
      </c>
      <c r="F30" s="46">
        <v>-467</v>
      </c>
      <c r="G30" s="46">
        <v>-423</v>
      </c>
      <c r="H30" s="46">
        <v>-498</v>
      </c>
      <c r="I30" s="46">
        <v>-507</v>
      </c>
    </row>
    <row r="31" spans="2:9" ht="15.75" thickBot="1" x14ac:dyDescent="0.3">
      <c r="B31" s="45" t="s">
        <v>139</v>
      </c>
      <c r="C31" s="47">
        <v>-1061</v>
      </c>
      <c r="D31" s="46">
        <v>0</v>
      </c>
      <c r="E31" s="46">
        <v>0</v>
      </c>
      <c r="F31" s="46">
        <v>-2</v>
      </c>
      <c r="G31" s="46">
        <v>0</v>
      </c>
      <c r="H31" s="46">
        <v>0</v>
      </c>
      <c r="I31" s="46">
        <v>0</v>
      </c>
    </row>
    <row r="32" spans="2:9" ht="15.75" thickTop="1" x14ac:dyDescent="0.25">
      <c r="B32" s="49" t="s">
        <v>52</v>
      </c>
      <c r="C32" s="51">
        <v>2595</v>
      </c>
      <c r="D32" s="51">
        <v>-1374</v>
      </c>
      <c r="E32" s="50">
        <v>-695</v>
      </c>
      <c r="F32" s="50">
        <v>-446</v>
      </c>
      <c r="G32" s="50">
        <v>111</v>
      </c>
      <c r="H32" s="51">
        <v>5258</v>
      </c>
      <c r="I32" s="51">
        <v>-3487</v>
      </c>
    </row>
    <row r="33" spans="2:9" x14ac:dyDescent="0.25">
      <c r="B33" s="55" t="s">
        <v>140</v>
      </c>
      <c r="C33" s="56">
        <v>6813</v>
      </c>
      <c r="D33" s="56">
        <v>5097</v>
      </c>
      <c r="E33" s="56">
        <v>7995</v>
      </c>
      <c r="F33" s="56">
        <v>8980</v>
      </c>
      <c r="G33" s="56">
        <v>14012</v>
      </c>
      <c r="H33" s="56">
        <v>10624</v>
      </c>
      <c r="I33" s="56">
        <v>9667</v>
      </c>
    </row>
    <row r="34" spans="2:9" x14ac:dyDescent="0.25">
      <c r="B34" s="57" t="s">
        <v>141</v>
      </c>
      <c r="C34" s="58">
        <v>1.03</v>
      </c>
      <c r="D34" s="58">
        <v>1</v>
      </c>
      <c r="E34" s="58">
        <v>0.92</v>
      </c>
      <c r="F34" s="58">
        <v>0.93</v>
      </c>
      <c r="G34" s="58">
        <v>1.08</v>
      </c>
      <c r="H34" s="58">
        <v>0.96</v>
      </c>
      <c r="I34" s="58">
        <v>1.05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D8EA-978C-4A1F-BC99-DC1764D9663D}">
  <dimension ref="B3:H33"/>
  <sheetViews>
    <sheetView topLeftCell="A11" workbookViewId="0">
      <selection activeCell="C24" sqref="C24:C30"/>
    </sheetView>
  </sheetViews>
  <sheetFormatPr defaultRowHeight="15" x14ac:dyDescent="0.25"/>
  <cols>
    <col min="2" max="2" width="32.140625" bestFit="1" customWidth="1"/>
    <col min="6" max="8" width="8.7109375" bestFit="1" customWidth="1"/>
  </cols>
  <sheetData>
    <row r="3" spans="2:8" ht="15.75" thickBot="1" x14ac:dyDescent="0.3">
      <c r="B3" s="59"/>
      <c r="C3" s="60">
        <v>44531</v>
      </c>
      <c r="D3" s="60">
        <v>44896</v>
      </c>
      <c r="E3" s="60">
        <v>45261</v>
      </c>
      <c r="F3" s="60">
        <v>45352</v>
      </c>
      <c r="G3" s="60">
        <v>45717</v>
      </c>
      <c r="H3" s="60">
        <v>46082</v>
      </c>
    </row>
    <row r="4" spans="2:8" ht="16.5" thickTop="1" thickBot="1" x14ac:dyDescent="0.3">
      <c r="B4" s="61" t="s">
        <v>142</v>
      </c>
      <c r="C4" s="62">
        <v>2236</v>
      </c>
      <c r="D4" s="62">
        <v>2737</v>
      </c>
      <c r="E4" s="62">
        <v>3392</v>
      </c>
      <c r="F4" s="62">
        <v>4175</v>
      </c>
      <c r="G4" s="62">
        <v>2935</v>
      </c>
      <c r="H4" s="62">
        <v>5048</v>
      </c>
    </row>
    <row r="5" spans="2:8" ht="15.75" thickTop="1" x14ac:dyDescent="0.25">
      <c r="B5" s="63" t="s">
        <v>110</v>
      </c>
      <c r="C5" s="62">
        <v>3136</v>
      </c>
      <c r="D5" s="62">
        <v>3609</v>
      </c>
      <c r="E5" s="62">
        <v>4388</v>
      </c>
      <c r="F5" s="62">
        <v>5722</v>
      </c>
      <c r="G5" s="62">
        <v>4672</v>
      </c>
      <c r="H5" s="62">
        <v>5326</v>
      </c>
    </row>
    <row r="6" spans="2:8" x14ac:dyDescent="0.25">
      <c r="B6" s="64" t="s">
        <v>42</v>
      </c>
      <c r="C6" s="65">
        <v>-2</v>
      </c>
      <c r="D6" s="65">
        <v>-28</v>
      </c>
      <c r="E6" s="65">
        <v>-11</v>
      </c>
      <c r="F6" s="65">
        <v>-109</v>
      </c>
      <c r="G6" s="65">
        <v>-70</v>
      </c>
      <c r="H6" s="65">
        <v>34</v>
      </c>
    </row>
    <row r="7" spans="2:8" x14ac:dyDescent="0.25">
      <c r="B7" s="64" t="s">
        <v>43</v>
      </c>
      <c r="C7" s="65">
        <v>-169</v>
      </c>
      <c r="D7" s="65">
        <v>-336</v>
      </c>
      <c r="E7" s="65">
        <v>56</v>
      </c>
      <c r="F7" s="65">
        <v>-161</v>
      </c>
      <c r="G7" s="65">
        <v>-767</v>
      </c>
      <c r="H7" s="65">
        <v>281</v>
      </c>
    </row>
    <row r="8" spans="2:8" x14ac:dyDescent="0.25">
      <c r="B8" s="64" t="s">
        <v>111</v>
      </c>
      <c r="C8" s="65">
        <v>217</v>
      </c>
      <c r="D8" s="65">
        <v>178</v>
      </c>
      <c r="E8" s="65">
        <v>68</v>
      </c>
      <c r="F8" s="65">
        <v>310</v>
      </c>
      <c r="G8" s="65">
        <v>134</v>
      </c>
      <c r="H8" s="65">
        <v>588</v>
      </c>
    </row>
    <row r="9" spans="2:8" x14ac:dyDescent="0.25">
      <c r="B9" s="64" t="s">
        <v>112</v>
      </c>
      <c r="C9" s="65">
        <v>-40</v>
      </c>
      <c r="D9" s="65">
        <v>-30</v>
      </c>
      <c r="E9" s="65">
        <v>-30</v>
      </c>
      <c r="F9" s="65">
        <v>-21</v>
      </c>
      <c r="G9" s="65">
        <v>-199</v>
      </c>
      <c r="H9" s="65">
        <v>-73</v>
      </c>
    </row>
    <row r="10" spans="2:8" x14ac:dyDescent="0.25">
      <c r="B10" s="64" t="s">
        <v>143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</row>
    <row r="11" spans="2:8" ht="15.75" thickBot="1" x14ac:dyDescent="0.3">
      <c r="B11" s="64" t="s">
        <v>113</v>
      </c>
      <c r="C11" s="65">
        <v>-179</v>
      </c>
      <c r="D11" s="65">
        <v>185</v>
      </c>
      <c r="E11" s="65">
        <v>-19</v>
      </c>
      <c r="F11" s="65">
        <v>-268</v>
      </c>
      <c r="G11" s="65">
        <v>155</v>
      </c>
      <c r="H11" s="65">
        <v>-37</v>
      </c>
    </row>
    <row r="12" spans="2:8" ht="15.75" thickTop="1" x14ac:dyDescent="0.25">
      <c r="B12" s="63" t="s">
        <v>114</v>
      </c>
      <c r="C12" s="66">
        <v>-172</v>
      </c>
      <c r="D12" s="66">
        <v>-30</v>
      </c>
      <c r="E12" s="66">
        <v>63</v>
      </c>
      <c r="F12" s="66">
        <v>-249</v>
      </c>
      <c r="G12" s="66">
        <v>-747</v>
      </c>
      <c r="H12" s="66">
        <v>793</v>
      </c>
    </row>
    <row r="13" spans="2:8" ht="15.75" thickBot="1" x14ac:dyDescent="0.3">
      <c r="B13" s="64" t="s">
        <v>115</v>
      </c>
      <c r="C13" s="65">
        <v>-729</v>
      </c>
      <c r="D13" s="65">
        <v>-841</v>
      </c>
      <c r="E13" s="67">
        <v>-1059</v>
      </c>
      <c r="F13" s="67">
        <v>-1299</v>
      </c>
      <c r="G13" s="65">
        <v>-990</v>
      </c>
      <c r="H13" s="67">
        <v>-1071</v>
      </c>
    </row>
    <row r="14" spans="2:8" ht="15.75" thickTop="1" x14ac:dyDescent="0.25">
      <c r="B14" s="68" t="s">
        <v>144</v>
      </c>
      <c r="C14" s="69">
        <v>-1920</v>
      </c>
      <c r="D14" s="70">
        <v>-392</v>
      </c>
      <c r="E14" s="70">
        <v>-927</v>
      </c>
      <c r="F14" s="69">
        <v>-1237</v>
      </c>
      <c r="G14" s="69">
        <v>-1811</v>
      </c>
      <c r="H14" s="70">
        <v>-624</v>
      </c>
    </row>
    <row r="15" spans="2:8" x14ac:dyDescent="0.25">
      <c r="B15" s="71" t="s">
        <v>118</v>
      </c>
      <c r="C15" s="72">
        <v>-735</v>
      </c>
      <c r="D15" s="72">
        <v>-550</v>
      </c>
      <c r="E15" s="73">
        <v>-1371</v>
      </c>
      <c r="F15" s="73">
        <v>-1883</v>
      </c>
      <c r="G15" s="73">
        <v>-2009</v>
      </c>
      <c r="H15" s="72">
        <v>-830</v>
      </c>
    </row>
    <row r="16" spans="2:8" x14ac:dyDescent="0.25">
      <c r="B16" s="71" t="s">
        <v>119</v>
      </c>
      <c r="C16" s="72">
        <v>4</v>
      </c>
      <c r="D16" s="72">
        <v>9</v>
      </c>
      <c r="E16" s="72">
        <v>7</v>
      </c>
      <c r="F16" s="72">
        <v>4</v>
      </c>
      <c r="G16" s="72">
        <v>4</v>
      </c>
      <c r="H16" s="72">
        <v>3</v>
      </c>
    </row>
    <row r="17" spans="2:8" x14ac:dyDescent="0.25">
      <c r="B17" s="71" t="s">
        <v>120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</row>
    <row r="18" spans="2:8" x14ac:dyDescent="0.25">
      <c r="B18" s="71" t="s">
        <v>121</v>
      </c>
      <c r="C18" s="72">
        <v>0</v>
      </c>
      <c r="D18" s="72">
        <v>25</v>
      </c>
      <c r="E18" s="72">
        <v>312</v>
      </c>
      <c r="F18" s="72">
        <v>284</v>
      </c>
      <c r="G18" s="72">
        <v>424</v>
      </c>
      <c r="H18" s="72">
        <v>0</v>
      </c>
    </row>
    <row r="19" spans="2:8" x14ac:dyDescent="0.25">
      <c r="B19" s="71" t="s">
        <v>122</v>
      </c>
      <c r="C19" s="72">
        <v>125</v>
      </c>
      <c r="D19" s="72">
        <v>103</v>
      </c>
      <c r="E19" s="72">
        <v>0</v>
      </c>
      <c r="F19" s="72">
        <v>167</v>
      </c>
      <c r="G19" s="72">
        <v>76</v>
      </c>
      <c r="H19" s="72">
        <v>34</v>
      </c>
    </row>
    <row r="20" spans="2:8" x14ac:dyDescent="0.25">
      <c r="B20" s="71" t="s">
        <v>123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</row>
    <row r="21" spans="2:8" x14ac:dyDescent="0.25">
      <c r="B21" s="71" t="s">
        <v>124</v>
      </c>
      <c r="C21" s="72">
        <v>0</v>
      </c>
      <c r="D21" s="72">
        <v>0</v>
      </c>
      <c r="E21" s="72">
        <v>0</v>
      </c>
      <c r="F21" s="72">
        <v>0</v>
      </c>
      <c r="G21" s="72">
        <v>-706</v>
      </c>
      <c r="H21" s="72">
        <v>0</v>
      </c>
    </row>
    <row r="22" spans="2:8" ht="15.75" thickBot="1" x14ac:dyDescent="0.3">
      <c r="B22" s="71" t="s">
        <v>125</v>
      </c>
      <c r="C22" s="73">
        <v>-1314</v>
      </c>
      <c r="D22" s="72">
        <v>20</v>
      </c>
      <c r="E22" s="72">
        <v>126</v>
      </c>
      <c r="F22" s="72">
        <v>190</v>
      </c>
      <c r="G22" s="72">
        <v>400</v>
      </c>
      <c r="H22" s="72">
        <v>168</v>
      </c>
    </row>
    <row r="23" spans="2:8" ht="15.75" thickTop="1" x14ac:dyDescent="0.25">
      <c r="B23" s="61" t="s">
        <v>145</v>
      </c>
      <c r="C23" s="62">
        <v>-2020</v>
      </c>
      <c r="D23" s="62">
        <v>-2123</v>
      </c>
      <c r="E23" s="62">
        <v>-2436</v>
      </c>
      <c r="F23" s="62">
        <v>-3135</v>
      </c>
      <c r="G23" s="62">
        <v>-1846</v>
      </c>
      <c r="H23" s="62">
        <v>-3179</v>
      </c>
    </row>
    <row r="24" spans="2:8" x14ac:dyDescent="0.25">
      <c r="B24" s="64" t="s">
        <v>134</v>
      </c>
      <c r="C24" s="65">
        <v>24</v>
      </c>
      <c r="D24" s="65">
        <v>0</v>
      </c>
      <c r="E24" s="65">
        <v>0</v>
      </c>
      <c r="F24" s="65">
        <v>0</v>
      </c>
      <c r="G24" s="65">
        <v>726</v>
      </c>
      <c r="H24" s="65">
        <v>0</v>
      </c>
    </row>
    <row r="25" spans="2:8" x14ac:dyDescent="0.25">
      <c r="B25" s="64" t="s">
        <v>135</v>
      </c>
      <c r="C25" s="65">
        <v>-24</v>
      </c>
      <c r="D25" s="65">
        <v>0</v>
      </c>
      <c r="E25" s="65">
        <v>0</v>
      </c>
      <c r="F25" s="65">
        <v>0</v>
      </c>
      <c r="G25" s="65">
        <v>0</v>
      </c>
      <c r="H25" s="65">
        <v>-726</v>
      </c>
    </row>
    <row r="26" spans="2:8" x14ac:dyDescent="0.25">
      <c r="B26" s="64" t="s">
        <v>146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</row>
    <row r="27" spans="2:8" x14ac:dyDescent="0.25">
      <c r="B27" s="64" t="s">
        <v>136</v>
      </c>
      <c r="C27" s="65">
        <v>-9</v>
      </c>
      <c r="D27" s="65">
        <v>-18</v>
      </c>
      <c r="E27" s="65">
        <v>-20</v>
      </c>
      <c r="F27" s="65">
        <v>-26</v>
      </c>
      <c r="G27" s="65">
        <v>-34</v>
      </c>
      <c r="H27" s="65">
        <v>-50</v>
      </c>
    </row>
    <row r="28" spans="2:8" x14ac:dyDescent="0.25">
      <c r="B28" s="64" t="s">
        <v>137</v>
      </c>
      <c r="C28" s="67">
        <v>-1928</v>
      </c>
      <c r="D28" s="67">
        <v>-2025</v>
      </c>
      <c r="E28" s="67">
        <v>-2333</v>
      </c>
      <c r="F28" s="67">
        <v>-3008</v>
      </c>
      <c r="G28" s="67">
        <v>-2459</v>
      </c>
      <c r="H28" s="67">
        <v>-2314</v>
      </c>
    </row>
    <row r="29" spans="2:8" x14ac:dyDescent="0.25">
      <c r="B29" s="64" t="s">
        <v>138</v>
      </c>
      <c r="C29" s="65">
        <v>-79</v>
      </c>
      <c r="D29" s="65">
        <v>-73</v>
      </c>
      <c r="E29" s="65">
        <v>-166</v>
      </c>
      <c r="F29" s="65">
        <v>-100</v>
      </c>
      <c r="G29" s="65">
        <v>-76</v>
      </c>
      <c r="H29" s="65">
        <v>-86</v>
      </c>
    </row>
    <row r="30" spans="2:8" ht="15.75" thickBot="1" x14ac:dyDescent="0.3">
      <c r="B30" s="64" t="s">
        <v>139</v>
      </c>
      <c r="C30" s="65">
        <v>-3</v>
      </c>
      <c r="D30" s="65">
        <v>-7</v>
      </c>
      <c r="E30" s="65">
        <v>83</v>
      </c>
      <c r="F30" s="65">
        <v>-1</v>
      </c>
      <c r="G30" s="65">
        <v>-4</v>
      </c>
      <c r="H30" s="65">
        <v>-3</v>
      </c>
    </row>
    <row r="31" spans="2:8" ht="15.75" thickTop="1" x14ac:dyDescent="0.25">
      <c r="B31" s="68" t="s">
        <v>52</v>
      </c>
      <c r="C31" s="69">
        <v>-1704</v>
      </c>
      <c r="D31" s="70">
        <v>223</v>
      </c>
      <c r="E31" s="70">
        <v>29</v>
      </c>
      <c r="F31" s="70">
        <v>-198</v>
      </c>
      <c r="G31" s="70">
        <v>-723</v>
      </c>
      <c r="H31" s="69">
        <v>1244</v>
      </c>
    </row>
    <row r="32" spans="2:8" x14ac:dyDescent="0.25">
      <c r="B32" s="55" t="s">
        <v>140</v>
      </c>
      <c r="C32" s="56">
        <v>1505</v>
      </c>
      <c r="D32" s="56">
        <v>2197</v>
      </c>
      <c r="E32" s="56">
        <v>2028</v>
      </c>
      <c r="F32" s="56">
        <v>2296</v>
      </c>
      <c r="G32" s="74">
        <v>930</v>
      </c>
      <c r="H32" s="56">
        <v>4221</v>
      </c>
    </row>
    <row r="33" spans="2:8" x14ac:dyDescent="0.25">
      <c r="B33" s="57" t="s">
        <v>141</v>
      </c>
      <c r="C33" s="58">
        <v>0.83</v>
      </c>
      <c r="D33" s="58">
        <v>0.97</v>
      </c>
      <c r="E33" s="58">
        <v>1</v>
      </c>
      <c r="F33" s="58">
        <v>0.94</v>
      </c>
      <c r="G33" s="58">
        <v>0.82</v>
      </c>
      <c r="H33" s="58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Financials&gt;</vt:lpstr>
      <vt:lpstr>Income Statement</vt:lpstr>
      <vt:lpstr>Balance Sheet</vt:lpstr>
      <vt:lpstr>Cash Flow Statement </vt:lpstr>
      <vt:lpstr>Ratio Analysis</vt:lpstr>
      <vt:lpstr>Graphical Represantation</vt:lpstr>
      <vt:lpstr>Data&gt;</vt:lpstr>
      <vt:lpstr>Data Sheet1</vt:lpstr>
      <vt:lpstr>Data Sheet2</vt:lpstr>
      <vt:lpstr>Cashflow H</vt:lpstr>
      <vt:lpstr>Cash flow N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Govind Patidar</cp:lastModifiedBy>
  <dcterms:created xsi:type="dcterms:W3CDTF">2023-01-14T08:22:33Z</dcterms:created>
  <dcterms:modified xsi:type="dcterms:W3CDTF">2026-07-31T08:17:52Z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