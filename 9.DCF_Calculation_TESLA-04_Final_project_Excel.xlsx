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ook N Klean_45-Day's_internship_projects\"/>
    </mc:Choice>
  </mc:AlternateContent>
  <xr:revisionPtr revIDLastSave="0" documentId="13_ncr:1_{9B4CC1C7-AB9F-43A9-B2D6-4F0090C52B74}" xr6:coauthVersionLast="47" xr6:coauthVersionMax="47" xr10:uidLastSave="{00000000-0000-0000-0000-000000000000}"/>
  <bookViews>
    <workbookView xWindow="-120" yWindow="-120" windowWidth="20730" windowHeight="11160" activeTab="5" xr2:uid="{00000000-000D-0000-FFFF-FFFF00000000}"/>
  </bookViews>
  <sheets>
    <sheet name="FCF" sheetId="2" r:id="rId1"/>
    <sheet name="WACC" sheetId="3" r:id="rId2"/>
    <sheet name="Terminal Value" sheetId="4" r:id="rId3"/>
    <sheet name="Discounting" sheetId="5" r:id="rId4"/>
    <sheet name="EV to Equity Value" sheetId="6" r:id="rId5"/>
    <sheet name="FULL DCF" sheetId="7" r:id="rId6"/>
  </sheets>
  <calcPr calcId="191029"/>
</workbook>
</file>

<file path=xl/calcChain.xml><?xml version="1.0" encoding="utf-8"?>
<calcChain xmlns="http://schemas.openxmlformats.org/spreadsheetml/2006/main">
  <c r="I32" i="7" l="1"/>
  <c r="H7" i="5"/>
  <c r="D6" i="2"/>
  <c r="E6" i="2" s="1"/>
  <c r="F6" i="2" s="1"/>
  <c r="G6" i="2" s="1"/>
  <c r="H6" i="2" s="1"/>
  <c r="F17" i="2"/>
  <c r="C46" i="7"/>
  <c r="C43" i="7"/>
  <c r="C42" i="7"/>
  <c r="E19" i="7"/>
  <c r="F19" i="7"/>
  <c r="D19" i="7"/>
  <c r="F6" i="7"/>
  <c r="D13" i="7"/>
  <c r="F9" i="7"/>
  <c r="F8" i="7"/>
  <c r="C6" i="7"/>
  <c r="C8" i="4"/>
  <c r="F12" i="2"/>
  <c r="G12" i="2" s="1"/>
  <c r="H12" i="2" s="1"/>
  <c r="I19" i="7" s="1"/>
  <c r="E48" i="2"/>
  <c r="D13" i="2" s="1"/>
  <c r="E20" i="7" s="1"/>
  <c r="E47" i="2"/>
  <c r="C13" i="2" s="1"/>
  <c r="D20" i="7" s="1"/>
  <c r="C47" i="2"/>
  <c r="D11" i="2"/>
  <c r="E18" i="7" s="1"/>
  <c r="C11" i="2"/>
  <c r="D18" i="7" s="1"/>
  <c r="E35" i="2"/>
  <c r="F26" i="2"/>
  <c r="G26" i="2" s="1"/>
  <c r="H26" i="2" s="1"/>
  <c r="E33" i="2"/>
  <c r="L24" i="2"/>
  <c r="D7" i="2"/>
  <c r="C7" i="2"/>
  <c r="B19" i="2"/>
  <c r="D35" i="2"/>
  <c r="H33" i="2"/>
  <c r="I33" i="2" s="1"/>
  <c r="D33" i="2"/>
  <c r="G32" i="2"/>
  <c r="E32" i="2"/>
  <c r="B31" i="2"/>
  <c r="E22" i="2"/>
  <c r="E24" i="2" s="1"/>
  <c r="E27" i="2" s="1"/>
  <c r="D8" i="2" s="1"/>
  <c r="D22" i="2"/>
  <c r="D24" i="2" s="1"/>
  <c r="C9" i="4" s="1"/>
  <c r="F20" i="2"/>
  <c r="F23" i="2" s="1"/>
  <c r="E17" i="2"/>
  <c r="G17" i="2" s="1"/>
  <c r="H17" i="2" s="1"/>
  <c r="I17" i="2" s="1"/>
  <c r="F25" i="2" l="1"/>
  <c r="E11" i="2" s="1"/>
  <c r="F18" i="7" s="1"/>
  <c r="D8" i="4"/>
  <c r="G13" i="7"/>
  <c r="G19" i="7"/>
  <c r="I13" i="7"/>
  <c r="H13" i="7"/>
  <c r="D9" i="4"/>
  <c r="F13" i="7"/>
  <c r="E13" i="2"/>
  <c r="E13" i="7"/>
  <c r="H19" i="7"/>
  <c r="I26" i="2"/>
  <c r="G20" i="2"/>
  <c r="D9" i="2"/>
  <c r="E16" i="7" s="1"/>
  <c r="D27" i="2"/>
  <c r="D28" i="2" s="1"/>
  <c r="C10" i="2" s="1"/>
  <c r="D17" i="7" s="1"/>
  <c r="E7" i="2"/>
  <c r="G21" i="2"/>
  <c r="G22" i="2" s="1"/>
  <c r="H20" i="2"/>
  <c r="E28" i="2"/>
  <c r="F21" i="2"/>
  <c r="F22" i="2" s="1"/>
  <c r="F24" i="2" s="1"/>
  <c r="F27" i="2" l="1"/>
  <c r="E9" i="4"/>
  <c r="F13" i="2"/>
  <c r="F20" i="7"/>
  <c r="E29" i="2"/>
  <c r="D10" i="2"/>
  <c r="E17" i="7" s="1"/>
  <c r="F28" i="2"/>
  <c r="C8" i="2"/>
  <c r="D29" i="2"/>
  <c r="C9" i="2"/>
  <c r="G7" i="2"/>
  <c r="H23" i="2"/>
  <c r="H25" i="2"/>
  <c r="G11" i="2" s="1"/>
  <c r="H18" i="7" s="1"/>
  <c r="F7" i="2"/>
  <c r="G23" i="2"/>
  <c r="G24" i="2" s="1"/>
  <c r="F9" i="4" s="1"/>
  <c r="G25" i="2"/>
  <c r="I20" i="2"/>
  <c r="H21" i="2"/>
  <c r="H22" i="2" s="1"/>
  <c r="H24" i="2" l="1"/>
  <c r="G9" i="4" s="1"/>
  <c r="F29" i="2"/>
  <c r="E10" i="2"/>
  <c r="F17" i="7" s="1"/>
  <c r="G20" i="7"/>
  <c r="G13" i="2"/>
  <c r="D16" i="7"/>
  <c r="C14" i="2"/>
  <c r="G27" i="2"/>
  <c r="G28" i="2" s="1"/>
  <c r="F10" i="2" s="1"/>
  <c r="G17" i="7" s="1"/>
  <c r="F11" i="2"/>
  <c r="G18" i="7" s="1"/>
  <c r="D14" i="2"/>
  <c r="H7" i="2"/>
  <c r="I23" i="2"/>
  <c r="I25" i="2"/>
  <c r="H11" i="2" s="1"/>
  <c r="I18" i="7" s="1"/>
  <c r="E8" i="2"/>
  <c r="E9" i="2"/>
  <c r="I21" i="2"/>
  <c r="I22" i="2" s="1"/>
  <c r="F9" i="2" l="1"/>
  <c r="H27" i="2"/>
  <c r="H28" i="2" s="1"/>
  <c r="I24" i="2"/>
  <c r="H9" i="4" s="1"/>
  <c r="H15" i="4" s="1"/>
  <c r="G29" i="2"/>
  <c r="F8" i="2"/>
  <c r="H13" i="2"/>
  <c r="I20" i="7" s="1"/>
  <c r="H20" i="7"/>
  <c r="I30" i="7"/>
  <c r="I31" i="7" s="1"/>
  <c r="G16" i="7"/>
  <c r="F14" i="2"/>
  <c r="F16" i="7"/>
  <c r="E14" i="2"/>
  <c r="H29" i="2"/>
  <c r="G10" i="2"/>
  <c r="H17" i="7" s="1"/>
  <c r="C10" i="4"/>
  <c r="D21" i="7"/>
  <c r="D10" i="4"/>
  <c r="E21" i="7"/>
  <c r="I27" i="2"/>
  <c r="I28" i="2" s="1"/>
  <c r="G8" i="2"/>
  <c r="G9" i="2"/>
  <c r="I29" i="2" l="1"/>
  <c r="H10" i="2"/>
  <c r="I17" i="7" s="1"/>
  <c r="E10" i="4"/>
  <c r="F21" i="7"/>
  <c r="G21" i="7"/>
  <c r="F10" i="4"/>
  <c r="H16" i="7"/>
  <c r="G14" i="2"/>
  <c r="H8" i="2"/>
  <c r="H9" i="2"/>
  <c r="C20" i="3"/>
  <c r="C25" i="7" s="1"/>
  <c r="C19" i="3"/>
  <c r="C7" i="3"/>
  <c r="C24" i="7" s="1"/>
  <c r="C21" i="3" l="1"/>
  <c r="C26" i="7"/>
  <c r="C27" i="7" s="1"/>
  <c r="I16" i="7"/>
  <c r="H14" i="2"/>
  <c r="G10" i="4"/>
  <c r="H21" i="7"/>
  <c r="D7" i="5"/>
  <c r="F7" i="5"/>
  <c r="C7" i="5"/>
  <c r="E7" i="5"/>
  <c r="C5" i="4" l="1"/>
  <c r="H14" i="4" s="1"/>
  <c r="C4" i="5"/>
  <c r="H10" i="4"/>
  <c r="I21" i="7"/>
  <c r="G7" i="5"/>
  <c r="I9" i="5" l="1"/>
  <c r="I36" i="7" s="1"/>
  <c r="I38" i="7" s="1"/>
  <c r="F9" i="5"/>
  <c r="H9" i="5"/>
  <c r="H10" i="5" s="1"/>
  <c r="D9" i="5"/>
  <c r="C9" i="5"/>
  <c r="E9" i="5"/>
  <c r="G9" i="5"/>
  <c r="H36" i="7" s="1"/>
  <c r="H37" i="7" s="1"/>
  <c r="F36" i="7" l="1"/>
  <c r="F37" i="7" s="1"/>
  <c r="E10" i="5"/>
  <c r="G36" i="7"/>
  <c r="G37" i="7" s="1"/>
  <c r="F10" i="5"/>
  <c r="D36" i="7"/>
  <c r="D37" i="7" s="1"/>
  <c r="C10" i="5"/>
  <c r="E36" i="7"/>
  <c r="E37" i="7" s="1"/>
  <c r="D10" i="5"/>
  <c r="G10" i="5"/>
  <c r="I7" i="5"/>
  <c r="I10" i="5" s="1"/>
  <c r="H16" i="4"/>
  <c r="I33" i="7" s="1"/>
  <c r="C3" i="6" l="1"/>
  <c r="C6" i="6" s="1"/>
  <c r="C8" i="6" s="1"/>
  <c r="C10" i="6" s="1"/>
  <c r="C12" i="5"/>
  <c r="I39" i="7" s="1"/>
  <c r="C44" i="7" s="1"/>
  <c r="C47" i="7" s="1"/>
</calcChain>
</file>

<file path=xl/sharedStrings.xml><?xml version="1.0" encoding="utf-8"?>
<sst xmlns="http://schemas.openxmlformats.org/spreadsheetml/2006/main" count="129" uniqueCount="104">
  <si>
    <t>Enterprise Value</t>
  </si>
  <si>
    <t>Equity Value</t>
  </si>
  <si>
    <t>Shares Outstanding</t>
  </si>
  <si>
    <t>Current Market Price</t>
  </si>
  <si>
    <t>Upside / (Downside)</t>
  </si>
  <si>
    <t>Particulars</t>
  </si>
  <si>
    <t>Year 1</t>
  </si>
  <si>
    <t>Year 2</t>
  </si>
  <si>
    <t>Year 3</t>
  </si>
  <si>
    <t>Year 4</t>
  </si>
  <si>
    <t>Year 5</t>
  </si>
  <si>
    <t>Revenue</t>
  </si>
  <si>
    <t>EBIT Margin</t>
  </si>
  <si>
    <t>EBIT</t>
  </si>
  <si>
    <t>Tax Rate</t>
  </si>
  <si>
    <t>Tax</t>
  </si>
  <si>
    <t>D&amp;A</t>
  </si>
  <si>
    <t>CapEx</t>
  </si>
  <si>
    <t>Weighted Average Cost of Capital (WACC)</t>
  </si>
  <si>
    <t>Cost of Equity</t>
  </si>
  <si>
    <t>Risk-Free Rate</t>
  </si>
  <si>
    <t>Beta</t>
  </si>
  <si>
    <t>Equity Risk Premium</t>
  </si>
  <si>
    <t>Cost of Equity (Ke = Rf + Beta × ERP)</t>
  </si>
  <si>
    <t>Cost of Debt</t>
  </si>
  <si>
    <t>Pre-Tax Cost of Debt</t>
  </si>
  <si>
    <t>After-Tax Cost of Debt</t>
  </si>
  <si>
    <t>Capital Structure</t>
  </si>
  <si>
    <t>Market Value of Equity</t>
  </si>
  <si>
    <t>Market Value of Debt</t>
  </si>
  <si>
    <t>Total Capital</t>
  </si>
  <si>
    <t>Equity Weight</t>
  </si>
  <si>
    <t>Debt Weight</t>
  </si>
  <si>
    <t>WACC</t>
  </si>
  <si>
    <t>Terminal Value Calculation</t>
  </si>
  <si>
    <t>Terminal Growth Rate</t>
  </si>
  <si>
    <t>Discounted Cash Flow</t>
  </si>
  <si>
    <t>Discount Period</t>
  </si>
  <si>
    <t>Discount Factor</t>
  </si>
  <si>
    <t>Present Value</t>
  </si>
  <si>
    <t>Enterprise Value to Equity Value</t>
  </si>
  <si>
    <t>Less: Total Debt</t>
  </si>
  <si>
    <t>Add: Cash &amp; Cash Equivalents</t>
  </si>
  <si>
    <t>Shares Outstanding (Million)</t>
  </si>
  <si>
    <t>Intrinsic Value Per Share</t>
  </si>
  <si>
    <t>4.30%</t>
  </si>
  <si>
    <t xml:space="preserve">Market value of Equity </t>
  </si>
  <si>
    <t>Free Cash Flow  (FCF) Calculation</t>
  </si>
  <si>
    <t>FCF</t>
  </si>
  <si>
    <t>Non-Cash Working Capital inc/dec</t>
  </si>
  <si>
    <t>#</t>
  </si>
  <si>
    <t>COGS</t>
  </si>
  <si>
    <t>Gross Profit</t>
  </si>
  <si>
    <t xml:space="preserve">Selling &amp; Adm Expences </t>
  </si>
  <si>
    <t>EBITDA</t>
  </si>
  <si>
    <t xml:space="preserve">Depreciation </t>
  </si>
  <si>
    <t>Intrest</t>
  </si>
  <si>
    <t>EBT</t>
  </si>
  <si>
    <t>Taxes</t>
  </si>
  <si>
    <t>Net Income</t>
  </si>
  <si>
    <t>Revenue Growth</t>
  </si>
  <si>
    <t>NA</t>
  </si>
  <si>
    <t>COGS% of Revenue</t>
  </si>
  <si>
    <t>Depreciation % of Sales</t>
  </si>
  <si>
    <t>Interest</t>
  </si>
  <si>
    <t>TESLA</t>
  </si>
  <si>
    <t xml:space="preserve">Tax </t>
  </si>
  <si>
    <t xml:space="preserve">Free Cash Flow  (FCF) </t>
  </si>
  <si>
    <t xml:space="preserve">EV/EBITDA Multiple </t>
  </si>
  <si>
    <t>Year</t>
  </si>
  <si>
    <t>2026E</t>
  </si>
  <si>
    <t>2027E</t>
  </si>
  <si>
    <t>2028E</t>
  </si>
  <si>
    <t>2029E</t>
  </si>
  <si>
    <t xml:space="preserve">Perpertuity Growth TV </t>
  </si>
  <si>
    <t>EV/EBITDA TV</t>
  </si>
  <si>
    <t xml:space="preserve">Average </t>
  </si>
  <si>
    <t>Terminal Value</t>
  </si>
  <si>
    <t xml:space="preserve">Enterprise Value </t>
  </si>
  <si>
    <t>Discounted Cash Flow Full</t>
  </si>
  <si>
    <t>Assumptions pt1</t>
  </si>
  <si>
    <t>Assumptions pt2</t>
  </si>
  <si>
    <t>Growth rate</t>
  </si>
  <si>
    <t>EV/EBITDA Multiple</t>
  </si>
  <si>
    <t>Market Return</t>
  </si>
  <si>
    <t>Equity value</t>
  </si>
  <si>
    <t>Debt value</t>
  </si>
  <si>
    <t>10y Treasury</t>
  </si>
  <si>
    <t>Free Cash Flows</t>
  </si>
  <si>
    <t>Non-cash Work. Capital (inc) / dec</t>
  </si>
  <si>
    <t>D/D+E</t>
  </si>
  <si>
    <t>E/D+E</t>
  </si>
  <si>
    <t>Perpetuity Growth</t>
  </si>
  <si>
    <t>Average</t>
  </si>
  <si>
    <t>Discounting</t>
  </si>
  <si>
    <t>PV of FCF</t>
  </si>
  <si>
    <t>PV of TV</t>
  </si>
  <si>
    <t>Cash</t>
  </si>
  <si>
    <t>Implied Share Price</t>
  </si>
  <si>
    <t>Free Cash Flow</t>
  </si>
  <si>
    <t>EV/EBITDA</t>
  </si>
  <si>
    <t>Total Debt</t>
  </si>
  <si>
    <t xml:space="preserve">DCF Valuation of Tesla Company </t>
  </si>
  <si>
    <t>Year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</si>
</sst>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164" formatCode="0.0%"/>
    <numFmt numFmtId="165" formatCode="#,##0.00;[Red]\(#,##0.00\)"/>
    <numFmt numFmtId="166" formatCode="0&quot;A&quot;"/>
    <numFmt numFmtId="167" formatCode="0&quot;E&quot;"/>
    <numFmt numFmtId="168" formatCode="#,##0.0;\(#,##0\)"/>
    <numFmt numFmtId="169" formatCode="#,##0.0"/>
    <numFmt numFmtId="170" formatCode="0000\A"/>
    <numFmt numFmtId="171" formatCode="0.00\x"/>
    <numFmt numFmtId="172" formatCode="#,##0;\(#,##0\)"/>
    <numFmt numFmtId="173" formatCode="#,##0.00;\(#,##0.00\)"/>
    <numFmt numFmtId="174" formatCode="#,##0.0;\(#,##0.0\)"/>
  </numFmts>
  <fonts count="23" x14ac:knownFonts="1">
    <font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color rgb="FFFFFFFF"/>
      <name val="Calibri"/>
      <family val="2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FFFFFF"/>
      <name val="Calibri"/>
      <family val="2"/>
    </font>
    <font>
      <b/>
      <sz val="11"/>
      <name val="Calibri"/>
      <family val="2"/>
    </font>
    <font>
      <b/>
      <sz val="11"/>
      <color theme="0"/>
      <name val="Calibri"/>
      <family val="2"/>
      <scheme val="minor"/>
    </font>
    <font>
      <sz val="11"/>
      <color rgb="FF0000FF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11"/>
      <color rgb="FFFFFFFF"/>
      <name val="Calibri"/>
      <family val="2"/>
    </font>
    <font>
      <sz val="11"/>
      <color theme="0"/>
      <name val="Calibri"/>
      <family val="2"/>
      <scheme val="minor"/>
    </font>
    <font>
      <b/>
      <sz val="12"/>
      <color rgb="FF000000"/>
      <name val="Arial"/>
      <family val="2"/>
    </font>
    <font>
      <sz val="9"/>
      <color theme="1"/>
      <name val="Calibri"/>
      <family val="2"/>
      <scheme val="minor"/>
    </font>
    <font>
      <b/>
      <sz val="12"/>
      <color theme="1"/>
      <name val="Calibri"/>
      <family val="2"/>
    </font>
    <font>
      <sz val="12"/>
      <color theme="1"/>
      <name val="Calibri"/>
      <family val="2"/>
    </font>
    <font>
      <sz val="12"/>
      <color rgb="FF0432FF"/>
      <name val="Calibri"/>
      <family val="2"/>
    </font>
    <font>
      <sz val="12"/>
      <color rgb="FF000000"/>
      <name val="Calibri"/>
      <family val="2"/>
    </font>
    <font>
      <i/>
      <sz val="12"/>
      <color theme="1"/>
      <name val="Calibri"/>
      <family val="2"/>
    </font>
    <font>
      <b/>
      <i/>
      <sz val="12"/>
      <color theme="1"/>
      <name val="Calibri"/>
      <family val="2"/>
    </font>
    <font>
      <sz val="26"/>
      <color theme="1"/>
      <name val="Calibri"/>
      <family val="2"/>
      <scheme val="minor"/>
    </font>
    <font>
      <b/>
      <sz val="14"/>
      <color rgb="FFFFFFFF"/>
      <name val="Calibri"/>
      <family val="2"/>
    </font>
  </fonts>
  <fills count="20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5B9BD5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D9E2F3"/>
        <bgColor rgb="FFD9E2F3"/>
      </patternFill>
    </fill>
    <fill>
      <patternFill patternType="solid">
        <fgColor theme="0"/>
        <bgColor theme="0"/>
      </patternFill>
    </fill>
    <fill>
      <patternFill patternType="solid">
        <fgColor rgb="FFFEF2CB"/>
        <bgColor rgb="FFFEF2CB"/>
      </patternFill>
    </fill>
    <fill>
      <patternFill patternType="solid">
        <fgColor theme="0"/>
        <bgColor rgb="FFD9E2F3"/>
      </patternFill>
    </fill>
  </fills>
  <borders count="7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/>
      <top style="medium">
        <color auto="1"/>
      </top>
      <bottom style="double">
        <color auto="1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/>
      <top style="double">
        <color auto="1"/>
      </top>
      <bottom style="double">
        <color auto="1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106">
    <xf numFmtId="0" fontId="0" fillId="0" borderId="0" xfId="0"/>
    <xf numFmtId="0" fontId="0" fillId="0" borderId="0" xfId="0" applyAlignment="1">
      <alignment vertical="center"/>
    </xf>
    <xf numFmtId="0" fontId="2" fillId="5" borderId="0" xfId="0" applyFont="1" applyFill="1" applyAlignment="1">
      <alignment vertical="center"/>
    </xf>
    <xf numFmtId="0" fontId="3" fillId="0" borderId="0" xfId="0" applyFont="1" applyAlignment="1">
      <alignment vertical="center"/>
    </xf>
    <xf numFmtId="0" fontId="3" fillId="4" borderId="0" xfId="0" applyFont="1" applyFill="1" applyAlignment="1">
      <alignment vertical="center"/>
    </xf>
    <xf numFmtId="10" fontId="0" fillId="0" borderId="0" xfId="0" applyNumberFormat="1" applyAlignment="1">
      <alignment vertical="center"/>
    </xf>
    <xf numFmtId="0" fontId="2" fillId="2" borderId="0" xfId="0" applyFont="1" applyFill="1" applyAlignment="1">
      <alignment vertical="center"/>
    </xf>
    <xf numFmtId="165" fontId="0" fillId="3" borderId="0" xfId="0" applyNumberFormat="1" applyFill="1" applyAlignment="1">
      <alignment vertical="center"/>
    </xf>
    <xf numFmtId="10" fontId="0" fillId="3" borderId="0" xfId="0" applyNumberFormat="1" applyFill="1" applyAlignment="1">
      <alignment vertical="center"/>
    </xf>
    <xf numFmtId="165" fontId="0" fillId="0" borderId="0" xfId="0" applyNumberFormat="1" applyAlignment="1">
      <alignment vertical="center"/>
    </xf>
    <xf numFmtId="0" fontId="5" fillId="0" borderId="0" xfId="0" applyFont="1" applyAlignment="1">
      <alignment vertical="center"/>
    </xf>
    <xf numFmtId="0" fontId="5" fillId="0" borderId="0" xfId="0" applyFont="1"/>
    <xf numFmtId="0" fontId="0" fillId="6" borderId="0" xfId="0" applyFill="1" applyAlignment="1">
      <alignment horizontal="right"/>
    </xf>
    <xf numFmtId="10" fontId="0" fillId="6" borderId="0" xfId="0" applyNumberFormat="1" applyFill="1"/>
    <xf numFmtId="10" fontId="5" fillId="7" borderId="1" xfId="0" applyNumberFormat="1" applyFont="1" applyFill="1" applyBorder="1" applyAlignment="1">
      <alignment vertical="center"/>
    </xf>
    <xf numFmtId="0" fontId="0" fillId="8" borderId="0" xfId="0" applyFill="1"/>
    <xf numFmtId="0" fontId="5" fillId="0" borderId="2" xfId="0" applyFont="1" applyBorder="1" applyAlignment="1">
      <alignment vertical="center"/>
    </xf>
    <xf numFmtId="0" fontId="7" fillId="4" borderId="2" xfId="0" applyFont="1" applyFill="1" applyBorder="1" applyAlignment="1">
      <alignment vertical="center"/>
    </xf>
    <xf numFmtId="0" fontId="0" fillId="0" borderId="0" xfId="0" applyAlignment="1">
      <alignment horizontal="right"/>
    </xf>
    <xf numFmtId="0" fontId="5" fillId="9" borderId="0" xfId="0" applyFont="1" applyFill="1"/>
    <xf numFmtId="0" fontId="0" fillId="9" borderId="0" xfId="0" applyFill="1"/>
    <xf numFmtId="168" fontId="5" fillId="0" borderId="0" xfId="0" applyNumberFormat="1" applyFont="1"/>
    <xf numFmtId="168" fontId="0" fillId="0" borderId="0" xfId="0" applyNumberFormat="1"/>
    <xf numFmtId="0" fontId="0" fillId="0" borderId="1" xfId="0" applyBorder="1"/>
    <xf numFmtId="168" fontId="9" fillId="0" borderId="1" xfId="0" applyNumberFormat="1" applyFont="1" applyBorder="1"/>
    <xf numFmtId="168" fontId="4" fillId="0" borderId="0" xfId="0" applyNumberFormat="1" applyFont="1"/>
    <xf numFmtId="0" fontId="5" fillId="0" borderId="3" xfId="0" applyFont="1" applyBorder="1"/>
    <xf numFmtId="168" fontId="10" fillId="0" borderId="3" xfId="0" applyNumberFormat="1" applyFont="1" applyBorder="1"/>
    <xf numFmtId="168" fontId="10" fillId="0" borderId="0" xfId="0" applyNumberFormat="1" applyFont="1"/>
    <xf numFmtId="10" fontId="9" fillId="0" borderId="0" xfId="1" applyNumberFormat="1" applyFont="1" applyAlignment="1">
      <alignment horizontal="right"/>
    </xf>
    <xf numFmtId="10" fontId="0" fillId="0" borderId="0" xfId="0" applyNumberFormat="1" applyAlignment="1">
      <alignment horizontal="right"/>
    </xf>
    <xf numFmtId="0" fontId="11" fillId="2" borderId="0" xfId="0" applyFont="1" applyFill="1" applyAlignment="1">
      <alignment vertical="center"/>
    </xf>
    <xf numFmtId="10" fontId="0" fillId="0" borderId="0" xfId="0" applyNumberFormat="1"/>
    <xf numFmtId="0" fontId="12" fillId="0" borderId="0" xfId="0" applyFont="1"/>
    <xf numFmtId="10" fontId="12" fillId="0" borderId="0" xfId="0" applyNumberFormat="1" applyFont="1"/>
    <xf numFmtId="2" fontId="0" fillId="0" borderId="0" xfId="0" applyNumberFormat="1"/>
    <xf numFmtId="169" fontId="3" fillId="4" borderId="2" xfId="0" applyNumberFormat="1" applyFont="1" applyFill="1" applyBorder="1" applyAlignment="1">
      <alignment vertical="center"/>
    </xf>
    <xf numFmtId="0" fontId="0" fillId="10" borderId="0" xfId="0" applyFill="1"/>
    <xf numFmtId="10" fontId="0" fillId="10" borderId="0" xfId="0" applyNumberFormat="1" applyFill="1"/>
    <xf numFmtId="168" fontId="0" fillId="10" borderId="0" xfId="0" applyNumberFormat="1" applyFill="1"/>
    <xf numFmtId="10" fontId="0" fillId="8" borderId="0" xfId="0" applyNumberFormat="1" applyFill="1"/>
    <xf numFmtId="168" fontId="0" fillId="8" borderId="0" xfId="0" applyNumberFormat="1" applyFill="1"/>
    <xf numFmtId="169" fontId="3" fillId="8" borderId="2" xfId="0" applyNumberFormat="1" applyFont="1" applyFill="1" applyBorder="1" applyAlignment="1">
      <alignment vertical="center"/>
    </xf>
    <xf numFmtId="0" fontId="14" fillId="0" borderId="0" xfId="0" applyFont="1"/>
    <xf numFmtId="9" fontId="0" fillId="0" borderId="0" xfId="0" applyNumberFormat="1" applyAlignment="1">
      <alignment horizontal="right" vertical="center"/>
    </xf>
    <xf numFmtId="0" fontId="5" fillId="11" borderId="0" xfId="0" applyFont="1" applyFill="1" applyAlignment="1">
      <alignment vertical="center"/>
    </xf>
    <xf numFmtId="170" fontId="0" fillId="11" borderId="0" xfId="0" applyNumberFormat="1" applyFill="1"/>
    <xf numFmtId="0" fontId="0" fillId="11" borderId="0" xfId="0" applyFill="1" applyAlignment="1">
      <alignment horizontal="right"/>
    </xf>
    <xf numFmtId="0" fontId="5" fillId="0" borderId="2" xfId="0" applyFont="1" applyBorder="1"/>
    <xf numFmtId="0" fontId="0" fillId="0" borderId="2" xfId="0" applyBorder="1"/>
    <xf numFmtId="10" fontId="0" fillId="12" borderId="0" xfId="0" applyNumberFormat="1" applyFill="1" applyAlignment="1">
      <alignment vertical="center"/>
    </xf>
    <xf numFmtId="0" fontId="8" fillId="13" borderId="0" xfId="0" applyFont="1" applyFill="1"/>
    <xf numFmtId="166" fontId="8" fillId="13" borderId="0" xfId="0" applyNumberFormat="1" applyFont="1" applyFill="1"/>
    <xf numFmtId="167" fontId="8" fillId="13" borderId="0" xfId="0" applyNumberFormat="1" applyFont="1" applyFill="1"/>
    <xf numFmtId="0" fontId="0" fillId="0" borderId="0" xfId="0" applyAlignment="1">
      <alignment horizontal="center" vertical="center"/>
    </xf>
    <xf numFmtId="0" fontId="5" fillId="14" borderId="0" xfId="0" applyFont="1" applyFill="1" applyAlignment="1">
      <alignment horizontal="center" vertical="center"/>
    </xf>
    <xf numFmtId="2" fontId="0" fillId="0" borderId="0" xfId="0" applyNumberFormat="1" applyAlignment="1">
      <alignment vertical="center"/>
    </xf>
    <xf numFmtId="0" fontId="0" fillId="8" borderId="0" xfId="0" applyFill="1" applyAlignment="1">
      <alignment vertical="center"/>
    </xf>
    <xf numFmtId="0" fontId="3" fillId="8" borderId="0" xfId="0" applyFont="1" applyFill="1" applyAlignment="1">
      <alignment vertical="center"/>
    </xf>
    <xf numFmtId="0" fontId="5" fillId="15" borderId="0" xfId="0" applyFont="1" applyFill="1" applyAlignment="1">
      <alignment vertical="center"/>
    </xf>
    <xf numFmtId="165" fontId="0" fillId="12" borderId="0" xfId="0" applyNumberFormat="1" applyFill="1" applyAlignment="1">
      <alignment vertical="center"/>
    </xf>
    <xf numFmtId="2" fontId="3" fillId="4" borderId="0" xfId="0" applyNumberFormat="1" applyFont="1" applyFill="1" applyAlignment="1">
      <alignment vertical="center"/>
    </xf>
    <xf numFmtId="0" fontId="16" fillId="17" borderId="0" xfId="0" applyFont="1" applyFill="1"/>
    <xf numFmtId="0" fontId="15" fillId="17" borderId="0" xfId="0" applyFont="1" applyFill="1" applyAlignment="1">
      <alignment horizontal="center"/>
    </xf>
    <xf numFmtId="0" fontId="16" fillId="0" borderId="4" xfId="0" applyFont="1" applyBorder="1"/>
    <xf numFmtId="0" fontId="16" fillId="0" borderId="0" xfId="0" applyFont="1"/>
    <xf numFmtId="164" fontId="17" fillId="0" borderId="0" xfId="0" applyNumberFormat="1" applyFont="1"/>
    <xf numFmtId="171" fontId="17" fillId="0" borderId="0" xfId="0" applyNumberFormat="1" applyFont="1"/>
    <xf numFmtId="9" fontId="17" fillId="0" borderId="0" xfId="0" applyNumberFormat="1" applyFont="1"/>
    <xf numFmtId="0" fontId="18" fillId="0" borderId="0" xfId="0" applyFont="1"/>
    <xf numFmtId="172" fontId="17" fillId="0" borderId="0" xfId="0" applyNumberFormat="1" applyFont="1"/>
    <xf numFmtId="0" fontId="16" fillId="0" borderId="0" xfId="0" applyFont="1" applyAlignment="1">
      <alignment horizontal="left"/>
    </xf>
    <xf numFmtId="0" fontId="19" fillId="0" borderId="0" xfId="0" applyFont="1" applyAlignment="1">
      <alignment horizontal="right"/>
    </xf>
    <xf numFmtId="0" fontId="19" fillId="0" borderId="0" xfId="0" applyFont="1"/>
    <xf numFmtId="0" fontId="20" fillId="16" borderId="0" xfId="0" applyFont="1" applyFill="1"/>
    <xf numFmtId="172" fontId="16" fillId="0" borderId="0" xfId="0" applyNumberFormat="1" applyFont="1"/>
    <xf numFmtId="172" fontId="16" fillId="18" borderId="0" xfId="0" applyNumberFormat="1" applyFont="1" applyFill="1"/>
    <xf numFmtId="0" fontId="15" fillId="0" borderId="5" xfId="0" applyFont="1" applyBorder="1" applyAlignment="1">
      <alignment horizontal="left"/>
    </xf>
    <xf numFmtId="172" fontId="15" fillId="0" borderId="5" xfId="0" applyNumberFormat="1" applyFont="1" applyBorder="1"/>
    <xf numFmtId="172" fontId="15" fillId="18" borderId="5" xfId="0" applyNumberFormat="1" applyFont="1" applyFill="1" applyBorder="1"/>
    <xf numFmtId="172" fontId="16" fillId="16" borderId="0" xfId="0" applyNumberFormat="1" applyFont="1" applyFill="1"/>
    <xf numFmtId="10" fontId="16" fillId="18" borderId="0" xfId="0" applyNumberFormat="1" applyFont="1" applyFill="1"/>
    <xf numFmtId="10" fontId="15" fillId="18" borderId="5" xfId="0" applyNumberFormat="1" applyFont="1" applyFill="1" applyBorder="1"/>
    <xf numFmtId="0" fontId="20" fillId="16" borderId="0" xfId="0" applyFont="1" applyFill="1" applyAlignment="1">
      <alignment horizontal="left"/>
    </xf>
    <xf numFmtId="173" fontId="16" fillId="18" borderId="0" xfId="0" applyNumberFormat="1" applyFont="1" applyFill="1"/>
    <xf numFmtId="173" fontId="15" fillId="18" borderId="5" xfId="0" applyNumberFormat="1" applyFont="1" applyFill="1" applyBorder="1"/>
    <xf numFmtId="10" fontId="17" fillId="0" borderId="0" xfId="1" applyNumberFormat="1" applyFont="1"/>
    <xf numFmtId="0" fontId="19" fillId="19" borderId="0" xfId="0" applyFont="1" applyFill="1"/>
    <xf numFmtId="2" fontId="17" fillId="0" borderId="0" xfId="0" applyNumberFormat="1" applyFont="1"/>
    <xf numFmtId="174" fontId="16" fillId="0" borderId="0" xfId="0" applyNumberFormat="1" applyFont="1"/>
    <xf numFmtId="172" fontId="16" fillId="0" borderId="2" xfId="0" applyNumberFormat="1" applyFont="1" applyBorder="1"/>
    <xf numFmtId="174" fontId="16" fillId="18" borderId="0" xfId="0" applyNumberFormat="1" applyFont="1" applyFill="1"/>
    <xf numFmtId="174" fontId="15" fillId="18" borderId="5" xfId="0" applyNumberFormat="1" applyFont="1" applyFill="1" applyBorder="1"/>
    <xf numFmtId="165" fontId="3" fillId="4" borderId="2" xfId="0" applyNumberFormat="1" applyFont="1" applyFill="1" applyBorder="1" applyAlignment="1">
      <alignment vertical="center"/>
    </xf>
    <xf numFmtId="10" fontId="5" fillId="14" borderId="0" xfId="0" applyNumberFormat="1" applyFont="1" applyFill="1" applyAlignment="1">
      <alignment horizontal="center" vertical="center"/>
    </xf>
    <xf numFmtId="0" fontId="5" fillId="15" borderId="0" xfId="0" applyFont="1" applyFill="1"/>
    <xf numFmtId="0" fontId="21" fillId="0" borderId="6" xfId="0" applyFont="1" applyBorder="1"/>
    <xf numFmtId="0" fontId="21" fillId="0" borderId="6" xfId="0" applyFont="1" applyBorder="1" applyAlignment="1">
      <alignment horizontal="left"/>
    </xf>
    <xf numFmtId="0" fontId="15" fillId="0" borderId="0" xfId="0" applyFont="1" applyAlignment="1">
      <alignment horizontal="left"/>
    </xf>
    <xf numFmtId="0" fontId="6" fillId="13" borderId="0" xfId="0" applyFont="1" applyFill="1" applyAlignment="1">
      <alignment vertical="center"/>
    </xf>
    <xf numFmtId="0" fontId="22" fillId="13" borderId="0" xfId="0" applyFont="1" applyFill="1" applyAlignment="1">
      <alignment vertical="center"/>
    </xf>
    <xf numFmtId="0" fontId="6" fillId="13" borderId="0" xfId="0" applyFont="1" applyFill="1" applyAlignment="1">
      <alignment horizontal="center" vertical="center"/>
    </xf>
    <xf numFmtId="0" fontId="13" fillId="0" borderId="0" xfId="0" applyFont="1" applyAlignment="1">
      <alignment horizontal="center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6" fillId="2" borderId="0" xfId="0" applyFont="1" applyFill="1" applyAlignment="1">
      <alignment horizontal="center" vertical="center"/>
    </xf>
  </cellXfs>
  <cellStyles count="2">
    <cellStyle name="Normal" xfId="0" builtinId="0"/>
    <cellStyle name="Percent" xfId="1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hyperlink" Target="https://lv.wikipedia.org/wiki/Tesla_(uz%C5%86%C4%93mums)" TargetMode="External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19050</xdr:colOff>
      <xdr:row>0</xdr:row>
      <xdr:rowOff>47625</xdr:rowOff>
    </xdr:from>
    <xdr:to>
      <xdr:col>1</xdr:col>
      <xdr:colOff>1057275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B6379E-1FA1-DB33-EAA7-0A1CD6C84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2"/>
            </a:ext>
          </a:extLst>
        </a:blip>
        <a:stretch>
          <a:fillRect/>
        </a:stretch>
      </xdr:blipFill>
      <xdr:spPr>
        <a:xfrm>
          <a:off x="219075" y="47625"/>
          <a:ext cx="1038225" cy="1257300"/>
        </a:xfrm>
        <a:prstGeom prst="rect">
          <a:avLst/>
        </a:prstGeom>
      </xdr:spPr>
    </xdr:pic>
    <xdr:clientData/>
  </xdr:twoCellAnchor>
  <xdr:oneCellAnchor>
    <xdr:from>
      <xdr:col>8</xdr:col>
      <xdr:colOff>533400</xdr:colOff>
      <xdr:row>8</xdr:row>
      <xdr:rowOff>9525</xdr:rowOff>
    </xdr:from>
    <xdr:ext cx="1143000" cy="233205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ED499D2-BA69-A355-50F5-A5819F57A330}"/>
            </a:ext>
          </a:extLst>
        </xdr:cNvPr>
        <xdr:cNvSpPr txBox="1"/>
      </xdr:nvSpPr>
      <xdr:spPr>
        <a:xfrm>
          <a:off x="8658225" y="1990725"/>
          <a:ext cx="1143000" cy="233205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endParaRPr lang="en-IN" sz="900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48"/>
  <sheetViews>
    <sheetView showGridLines="0" topLeftCell="A7" workbookViewId="0">
      <selection activeCell="J13" sqref="J13"/>
    </sheetView>
  </sheetViews>
  <sheetFormatPr defaultRowHeight="15" x14ac:dyDescent="0.25"/>
  <cols>
    <col min="1" max="1" width="3" customWidth="1"/>
    <col min="2" max="2" width="31.85546875" bestFit="1" customWidth="1"/>
    <col min="3" max="4" width="13.42578125" bestFit="1" customWidth="1"/>
    <col min="5" max="5" width="17.28515625" customWidth="1"/>
    <col min="6" max="6" width="14" customWidth="1"/>
    <col min="7" max="8" width="14.42578125" bestFit="1" customWidth="1"/>
    <col min="9" max="9" width="13.42578125" bestFit="1" customWidth="1"/>
    <col min="12" max="12" width="13.28515625" bestFit="1" customWidth="1"/>
  </cols>
  <sheetData>
    <row r="1" spans="2:8" ht="33.75" customHeight="1" thickBot="1" x14ac:dyDescent="0.3"/>
    <row r="2" spans="2:8" ht="36.75" customHeight="1" thickTop="1" thickBot="1" x14ac:dyDescent="0.55000000000000004">
      <c r="C2" s="97" t="s">
        <v>102</v>
      </c>
      <c r="D2" s="96"/>
      <c r="E2" s="96"/>
      <c r="F2" s="96"/>
      <c r="G2" s="96"/>
    </row>
    <row r="3" spans="2:8" ht="15.75" thickTop="1" x14ac:dyDescent="0.25"/>
    <row r="4" spans="2:8" ht="21" customHeight="1" x14ac:dyDescent="0.25"/>
    <row r="5" spans="2:8" ht="21" customHeight="1" x14ac:dyDescent="0.25">
      <c r="B5" s="101" t="s">
        <v>47</v>
      </c>
      <c r="C5" s="101"/>
      <c r="D5" s="101"/>
      <c r="E5" s="101"/>
      <c r="F5" s="101"/>
      <c r="G5" s="101"/>
      <c r="H5" s="99"/>
    </row>
    <row r="6" spans="2:8" ht="21" customHeight="1" x14ac:dyDescent="0.25">
      <c r="B6" s="100" t="s">
        <v>5</v>
      </c>
      <c r="C6" s="52">
        <v>2024</v>
      </c>
      <c r="D6" s="52">
        <f>C6+1</f>
        <v>2025</v>
      </c>
      <c r="E6" s="53">
        <f>D6+1</f>
        <v>2026</v>
      </c>
      <c r="F6" s="53">
        <f t="shared" ref="F6" si="0">E6+1</f>
        <v>2027</v>
      </c>
      <c r="G6" s="53">
        <f t="shared" ref="G6" si="1">F6+1</f>
        <v>2028</v>
      </c>
      <c r="H6" s="53">
        <f>G6+1</f>
        <v>2029</v>
      </c>
    </row>
    <row r="7" spans="2:8" ht="21" customHeight="1" x14ac:dyDescent="0.25">
      <c r="B7" t="s">
        <v>11</v>
      </c>
      <c r="C7" s="37">
        <f>D20</f>
        <v>97690000</v>
      </c>
      <c r="D7" s="37">
        <f t="shared" ref="D7:H7" si="2">E20</f>
        <v>94827000</v>
      </c>
      <c r="E7" s="15">
        <f t="shared" si="2"/>
        <v>104309700.00000001</v>
      </c>
      <c r="F7" s="15">
        <f t="shared" si="2"/>
        <v>114740670.00000003</v>
      </c>
      <c r="G7" s="15">
        <f t="shared" si="2"/>
        <v>128509550.40000005</v>
      </c>
      <c r="H7" s="15">
        <f t="shared" si="2"/>
        <v>147785982.96000004</v>
      </c>
    </row>
    <row r="8" spans="2:8" ht="21" customHeight="1" x14ac:dyDescent="0.25">
      <c r="B8" t="s">
        <v>12</v>
      </c>
      <c r="C8" s="38">
        <f>D27/C7</f>
        <v>1.2007370252840618E-2</v>
      </c>
      <c r="D8" s="38">
        <f t="shared" ref="D8:H8" si="3">E27/D7</f>
        <v>6.8809516277009717E-3</v>
      </c>
      <c r="E8" s="40">
        <f t="shared" si="3"/>
        <v>6.3911892182605965E-3</v>
      </c>
      <c r="F8" s="40">
        <f>G27/F7</f>
        <v>7.0052260719760109E-3</v>
      </c>
      <c r="G8" s="40">
        <f t="shared" si="3"/>
        <v>7.8111494424774478E-3</v>
      </c>
      <c r="H8" s="40">
        <f t="shared" si="3"/>
        <v>8.8623538387838478E-3</v>
      </c>
    </row>
    <row r="9" spans="2:8" ht="21" customHeight="1" x14ac:dyDescent="0.25">
      <c r="B9" t="s">
        <v>13</v>
      </c>
      <c r="C9" s="39">
        <f>D27</f>
        <v>1173000</v>
      </c>
      <c r="D9" s="39">
        <f t="shared" ref="D9:H9" si="4">E27</f>
        <v>652500</v>
      </c>
      <c r="E9" s="41">
        <f t="shared" si="4"/>
        <v>666663.02999999747</v>
      </c>
      <c r="F9" s="41">
        <f>G27</f>
        <v>803784.33299999591</v>
      </c>
      <c r="G9" s="41">
        <f t="shared" si="4"/>
        <v>1003807.3029599879</v>
      </c>
      <c r="H9" s="41">
        <f t="shared" si="4"/>
        <v>1309731.6734040007</v>
      </c>
    </row>
    <row r="10" spans="2:8" ht="21" customHeight="1" x14ac:dyDescent="0.25">
      <c r="B10" t="s">
        <v>66</v>
      </c>
      <c r="C10" s="39">
        <f>D28</f>
        <v>293250</v>
      </c>
      <c r="D10" s="37">
        <f t="shared" ref="D10:H10" si="5">E28</f>
        <v>163125</v>
      </c>
      <c r="E10" s="15">
        <f t="shared" si="5"/>
        <v>166665.75749999937</v>
      </c>
      <c r="F10" s="15">
        <f t="shared" si="5"/>
        <v>200946.08324999898</v>
      </c>
      <c r="G10" s="15">
        <f t="shared" si="5"/>
        <v>250951.82573999697</v>
      </c>
      <c r="H10" s="15">
        <f t="shared" si="5"/>
        <v>327432.91835100017</v>
      </c>
    </row>
    <row r="11" spans="2:8" ht="21" customHeight="1" x14ac:dyDescent="0.25">
      <c r="B11" t="s">
        <v>16</v>
      </c>
      <c r="C11" s="39">
        <f>D25</f>
        <v>5368000</v>
      </c>
      <c r="D11" s="39">
        <f t="shared" ref="D11:H11" si="6">E25</f>
        <v>2854500</v>
      </c>
      <c r="E11" s="41">
        <f t="shared" si="6"/>
        <v>6269012.9700000007</v>
      </c>
      <c r="F11" s="41">
        <f t="shared" si="6"/>
        <v>6895914.2670000019</v>
      </c>
      <c r="G11" s="41">
        <f t="shared" si="6"/>
        <v>7723423.9790400034</v>
      </c>
      <c r="H11" s="41">
        <f t="shared" si="6"/>
        <v>8881937.5758960024</v>
      </c>
    </row>
    <row r="12" spans="2:8" ht="21" customHeight="1" x14ac:dyDescent="0.25">
      <c r="B12" t="s">
        <v>17</v>
      </c>
      <c r="C12" s="39">
        <v>-11342000</v>
      </c>
      <c r="D12" s="39">
        <v>-8527000</v>
      </c>
      <c r="E12" s="41">
        <v>-12930000</v>
      </c>
      <c r="F12" s="41">
        <f>E12*(1+0.05)</f>
        <v>-13576500</v>
      </c>
      <c r="G12" s="41">
        <f t="shared" ref="G12:H12" si="7">F12*(1+0.05)</f>
        <v>-14255325</v>
      </c>
      <c r="H12" s="41">
        <f t="shared" si="7"/>
        <v>-14968091.25</v>
      </c>
    </row>
    <row r="13" spans="2:8" ht="21" customHeight="1" x14ac:dyDescent="0.25">
      <c r="B13" t="s">
        <v>49</v>
      </c>
      <c r="C13" s="39">
        <f>E47</f>
        <v>3171000</v>
      </c>
      <c r="D13" s="39">
        <f>E48</f>
        <v>3202000</v>
      </c>
      <c r="E13" s="41">
        <f>D13*(1+0.05)</f>
        <v>3362100</v>
      </c>
      <c r="F13" s="41">
        <f t="shared" ref="F13:H13" si="8">E13*(1+0.05)</f>
        <v>3530205</v>
      </c>
      <c r="G13" s="41">
        <f t="shared" si="8"/>
        <v>3706715.25</v>
      </c>
      <c r="H13" s="41">
        <f t="shared" si="8"/>
        <v>3892051.0125000002</v>
      </c>
    </row>
    <row r="14" spans="2:8" x14ac:dyDescent="0.25">
      <c r="B14" s="17" t="s">
        <v>67</v>
      </c>
      <c r="C14" s="36">
        <f>C9-(SUM(C10,C11,C12,C13))</f>
        <v>3682750</v>
      </c>
      <c r="D14" s="36">
        <f t="shared" ref="D14:H14" si="9">D9-(SUM(D10,D11,D12,D13))</f>
        <v>2959875</v>
      </c>
      <c r="E14" s="42">
        <f t="shared" si="9"/>
        <v>3798884.3024999974</v>
      </c>
      <c r="F14" s="42">
        <f t="shared" si="9"/>
        <v>3753218.9827499948</v>
      </c>
      <c r="G14" s="42">
        <f t="shared" si="9"/>
        <v>3578041.2481799871</v>
      </c>
      <c r="H14" s="42">
        <f t="shared" si="9"/>
        <v>3176401.416656998</v>
      </c>
    </row>
    <row r="16" spans="2:8" x14ac:dyDescent="0.25">
      <c r="B16" t="s">
        <v>65</v>
      </c>
    </row>
    <row r="17" spans="1:12" x14ac:dyDescent="0.25">
      <c r="B17" s="51"/>
      <c r="C17" s="51"/>
      <c r="D17" s="52">
        <v>2024</v>
      </c>
      <c r="E17" s="52">
        <f>D17+1</f>
        <v>2025</v>
      </c>
      <c r="F17" s="53">
        <f>E17+1</f>
        <v>2026</v>
      </c>
      <c r="G17" s="53">
        <f t="shared" ref="G17:H17" si="10">F17+1</f>
        <v>2027</v>
      </c>
      <c r="H17" s="53">
        <f t="shared" si="10"/>
        <v>2028</v>
      </c>
      <c r="I17" s="53">
        <f>H17+1</f>
        <v>2029</v>
      </c>
      <c r="L17" s="22"/>
    </row>
    <row r="18" spans="1:12" x14ac:dyDescent="0.25">
      <c r="L18" s="22"/>
    </row>
    <row r="19" spans="1:12" x14ac:dyDescent="0.25">
      <c r="A19" t="s">
        <v>50</v>
      </c>
      <c r="B19" s="19" t="str">
        <f>"Income Statement"&amp;" - "&amp;B16</f>
        <v>Income Statement - TESLA</v>
      </c>
      <c r="C19" s="19"/>
      <c r="D19" s="20"/>
      <c r="E19" s="20"/>
      <c r="F19" s="20"/>
      <c r="G19" s="20"/>
      <c r="H19" s="20"/>
      <c r="I19" s="20"/>
      <c r="L19" s="22"/>
    </row>
    <row r="20" spans="1:12" x14ac:dyDescent="0.25">
      <c r="B20" s="11" t="s">
        <v>11</v>
      </c>
      <c r="C20" s="11"/>
      <c r="D20" s="21">
        <v>97690000</v>
      </c>
      <c r="E20" s="21">
        <v>94827000</v>
      </c>
      <c r="F20" s="21">
        <f>E20*(1+F32)</f>
        <v>104309700.00000001</v>
      </c>
      <c r="G20" s="21">
        <f>F20*(1+G32)</f>
        <v>114740670.00000003</v>
      </c>
      <c r="H20" s="21">
        <f>G20*(1+H32)</f>
        <v>128509550.40000005</v>
      </c>
      <c r="I20" s="21">
        <f>H20*(1+I32)</f>
        <v>147785982.96000004</v>
      </c>
      <c r="L20" s="22"/>
    </row>
    <row r="21" spans="1:12" ht="15.75" thickBot="1" x14ac:dyDescent="0.3">
      <c r="B21" t="s">
        <v>51</v>
      </c>
      <c r="D21" s="22">
        <v>80240000</v>
      </c>
      <c r="E21" s="22">
        <v>77733000</v>
      </c>
      <c r="F21" s="22">
        <f>F20*F33</f>
        <v>83447760.000000015</v>
      </c>
      <c r="G21" s="22">
        <f>G20*G33</f>
        <v>91792536.00000003</v>
      </c>
      <c r="H21" s="22">
        <f>H20*H33</f>
        <v>102807640.32000005</v>
      </c>
      <c r="I21" s="22">
        <f>I20*I33</f>
        <v>118228786.36800003</v>
      </c>
      <c r="L21" s="22"/>
    </row>
    <row r="22" spans="1:12" x14ac:dyDescent="0.25">
      <c r="B22" s="23" t="s">
        <v>52</v>
      </c>
      <c r="C22" s="23"/>
      <c r="D22" s="24">
        <f>D20-D21</f>
        <v>17450000</v>
      </c>
      <c r="E22" s="24">
        <f>E20-E21</f>
        <v>17094000</v>
      </c>
      <c r="F22" s="24">
        <f t="shared" ref="F22:I22" si="11">F20-F21</f>
        <v>20861940</v>
      </c>
      <c r="G22" s="24">
        <f t="shared" si="11"/>
        <v>22948134</v>
      </c>
      <c r="H22" s="24">
        <f t="shared" si="11"/>
        <v>25701910.079999998</v>
      </c>
      <c r="I22" s="24">
        <f t="shared" si="11"/>
        <v>29557196.592000008</v>
      </c>
    </row>
    <row r="23" spans="1:12" ht="15.75" thickBot="1" x14ac:dyDescent="0.3">
      <c r="B23" t="s">
        <v>53</v>
      </c>
      <c r="D23" s="22">
        <v>9690000</v>
      </c>
      <c r="E23" s="22">
        <v>12245000</v>
      </c>
      <c r="F23" s="22">
        <f>F20*F34</f>
        <v>12517164.000000002</v>
      </c>
      <c r="G23" s="22">
        <f t="shared" ref="G23:I23" si="12">G20*G34</f>
        <v>13768880.400000002</v>
      </c>
      <c r="H23" s="22">
        <f t="shared" si="12"/>
        <v>15421146.048000006</v>
      </c>
      <c r="I23" s="22">
        <f t="shared" si="12"/>
        <v>17734317.955200005</v>
      </c>
      <c r="L23" s="33"/>
    </row>
    <row r="24" spans="1:12" x14ac:dyDescent="0.25">
      <c r="B24" s="23" t="s">
        <v>54</v>
      </c>
      <c r="C24" s="23"/>
      <c r="D24" s="24">
        <f>D22-D23</f>
        <v>7760000</v>
      </c>
      <c r="E24" s="24">
        <f>E22-E23</f>
        <v>4849000</v>
      </c>
      <c r="F24" s="24">
        <f t="shared" ref="F24:I24" si="13">F22-F23</f>
        <v>8344775.9999999981</v>
      </c>
      <c r="G24" s="24">
        <f t="shared" si="13"/>
        <v>9179253.5999999978</v>
      </c>
      <c r="H24" s="24">
        <f t="shared" si="13"/>
        <v>10280764.031999992</v>
      </c>
      <c r="I24" s="24">
        <f t="shared" si="13"/>
        <v>11822878.636800002</v>
      </c>
      <c r="L24" s="34">
        <f>E26/D26</f>
        <v>1.1009023789991796</v>
      </c>
    </row>
    <row r="25" spans="1:12" x14ac:dyDescent="0.25">
      <c r="B25" t="s">
        <v>55</v>
      </c>
      <c r="D25" s="22">
        <v>5368000</v>
      </c>
      <c r="E25" s="22">
        <v>2854500</v>
      </c>
      <c r="F25" s="22">
        <f>F20*F35</f>
        <v>6269012.9700000007</v>
      </c>
      <c r="G25" s="22">
        <f t="shared" ref="G25:I25" si="14">G20*G35</f>
        <v>6895914.2670000019</v>
      </c>
      <c r="H25" s="22">
        <f t="shared" si="14"/>
        <v>7723423.9790400034</v>
      </c>
      <c r="I25" s="22">
        <f t="shared" si="14"/>
        <v>8881937.5758960024</v>
      </c>
    </row>
    <row r="26" spans="1:12" ht="15.75" thickBot="1" x14ac:dyDescent="0.3">
      <c r="B26" t="s">
        <v>56</v>
      </c>
      <c r="D26" s="22">
        <v>1219000</v>
      </c>
      <c r="E26" s="22">
        <v>1342000</v>
      </c>
      <c r="F26" s="25">
        <f>E26*F36</f>
        <v>1409100</v>
      </c>
      <c r="G26" s="25">
        <f t="shared" ref="G26:I26" si="15">F26*G36</f>
        <v>1479555</v>
      </c>
      <c r="H26" s="25">
        <f t="shared" si="15"/>
        <v>1553532.75</v>
      </c>
      <c r="I26" s="25">
        <f t="shared" si="15"/>
        <v>1631209.3875</v>
      </c>
    </row>
    <row r="27" spans="1:12" x14ac:dyDescent="0.25">
      <c r="B27" s="23" t="s">
        <v>57</v>
      </c>
      <c r="C27" s="23"/>
      <c r="D27" s="24">
        <f>D24-SUM(D25,D26)</f>
        <v>1173000</v>
      </c>
      <c r="E27" s="24">
        <f>E24-SUM(E25,E26)</f>
        <v>652500</v>
      </c>
      <c r="F27" s="24">
        <f t="shared" ref="F27:I27" si="16">F24-SUM(F25,F26)</f>
        <v>666663.02999999747</v>
      </c>
      <c r="G27" s="24">
        <f t="shared" si="16"/>
        <v>803784.33299999591</v>
      </c>
      <c r="H27" s="24">
        <f t="shared" si="16"/>
        <v>1003807.3029599879</v>
      </c>
      <c r="I27" s="24">
        <f t="shared" si="16"/>
        <v>1309731.6734040007</v>
      </c>
    </row>
    <row r="28" spans="1:12" ht="15.75" thickBot="1" x14ac:dyDescent="0.3">
      <c r="B28" t="s">
        <v>58</v>
      </c>
      <c r="D28" s="22">
        <f>D27*D37</f>
        <v>293250</v>
      </c>
      <c r="E28" s="22">
        <f t="shared" ref="E28:I28" si="17">E27*E37</f>
        <v>163125</v>
      </c>
      <c r="F28" s="22">
        <f t="shared" si="17"/>
        <v>166665.75749999937</v>
      </c>
      <c r="G28" s="22">
        <f t="shared" si="17"/>
        <v>200946.08324999898</v>
      </c>
      <c r="H28" s="22">
        <f t="shared" si="17"/>
        <v>250951.82573999697</v>
      </c>
      <c r="I28" s="22">
        <f t="shared" si="17"/>
        <v>327432.91835100017</v>
      </c>
      <c r="J28" s="22"/>
    </row>
    <row r="29" spans="1:12" ht="15.75" thickBot="1" x14ac:dyDescent="0.3">
      <c r="B29" s="26" t="s">
        <v>59</v>
      </c>
      <c r="C29" s="26"/>
      <c r="D29" s="27">
        <f>D27-D28</f>
        <v>879750</v>
      </c>
      <c r="E29" s="27">
        <f>E27-E28</f>
        <v>489375</v>
      </c>
      <c r="F29" s="27">
        <f t="shared" ref="F29:I29" si="18">F27-F28</f>
        <v>499997.2724999981</v>
      </c>
      <c r="G29" s="27">
        <f t="shared" si="18"/>
        <v>602838.24974999693</v>
      </c>
      <c r="H29" s="27">
        <f t="shared" si="18"/>
        <v>752855.47721999092</v>
      </c>
      <c r="I29" s="27">
        <f t="shared" si="18"/>
        <v>982298.75505300052</v>
      </c>
      <c r="J29" s="28"/>
    </row>
    <row r="30" spans="1:12" ht="15.75" thickTop="1" x14ac:dyDescent="0.25">
      <c r="B30" s="11"/>
      <c r="C30" s="11"/>
      <c r="D30" s="28"/>
      <c r="E30" s="28"/>
      <c r="F30" s="28"/>
      <c r="G30" s="28"/>
      <c r="H30" s="28"/>
      <c r="I30" s="28"/>
    </row>
    <row r="31" spans="1:12" x14ac:dyDescent="0.25">
      <c r="A31" t="s">
        <v>50</v>
      </c>
      <c r="B31" s="19" t="str">
        <f>"Assumption Drivers"&amp;" - "&amp;B16</f>
        <v>Assumption Drivers - TESLA</v>
      </c>
      <c r="C31" s="19"/>
      <c r="D31" s="20"/>
      <c r="E31" s="20"/>
      <c r="F31" s="20"/>
      <c r="G31" s="20"/>
      <c r="H31" s="20"/>
      <c r="I31" s="20"/>
    </row>
    <row r="32" spans="1:12" x14ac:dyDescent="0.25">
      <c r="B32" t="s">
        <v>60</v>
      </c>
      <c r="D32" s="18" t="s">
        <v>61</v>
      </c>
      <c r="E32" s="29">
        <f>E20/D20-1</f>
        <v>-2.9306991503736279E-2</v>
      </c>
      <c r="F32" s="29">
        <v>0.1</v>
      </c>
      <c r="G32" s="29">
        <f>F32</f>
        <v>0.1</v>
      </c>
      <c r="H32" s="29">
        <v>0.12</v>
      </c>
      <c r="I32" s="29">
        <v>0.15</v>
      </c>
    </row>
    <row r="33" spans="2:12" x14ac:dyDescent="0.25">
      <c r="B33" t="s">
        <v>62</v>
      </c>
      <c r="D33" s="29">
        <f>D21/D20</f>
        <v>0.82137373323779306</v>
      </c>
      <c r="E33" s="29">
        <f>E20/D20</f>
        <v>0.97069300849626372</v>
      </c>
      <c r="F33" s="29">
        <v>0.8</v>
      </c>
      <c r="G33" s="29">
        <v>0.8</v>
      </c>
      <c r="H33" s="29">
        <f t="shared" ref="H33:I33" si="19">G33</f>
        <v>0.8</v>
      </c>
      <c r="I33" s="29">
        <f t="shared" si="19"/>
        <v>0.8</v>
      </c>
    </row>
    <row r="34" spans="2:12" x14ac:dyDescent="0.25">
      <c r="B34" t="s">
        <v>53</v>
      </c>
      <c r="D34" s="29">
        <v>0.12</v>
      </c>
      <c r="E34" s="29">
        <v>0.12</v>
      </c>
      <c r="F34" s="29">
        <v>0.12</v>
      </c>
      <c r="G34" s="29">
        <v>0.12</v>
      </c>
      <c r="H34" s="29">
        <v>0.12</v>
      </c>
      <c r="I34" s="29">
        <v>0.12</v>
      </c>
    </row>
    <row r="35" spans="2:12" x14ac:dyDescent="0.25">
      <c r="B35" t="s">
        <v>63</v>
      </c>
      <c r="D35" s="29">
        <f>D25/D20</f>
        <v>5.4949329511720747E-2</v>
      </c>
      <c r="E35" s="29">
        <f>E25/E20</f>
        <v>3.010218608624126E-2</v>
      </c>
      <c r="F35" s="29">
        <v>6.0100000000000001E-2</v>
      </c>
      <c r="G35" s="29">
        <v>6.0100000000000001E-2</v>
      </c>
      <c r="H35" s="29">
        <v>6.0100000000000001E-2</v>
      </c>
      <c r="I35" s="29">
        <v>6.0100000000000001E-2</v>
      </c>
    </row>
    <row r="36" spans="2:12" x14ac:dyDescent="0.25">
      <c r="B36" t="s">
        <v>64</v>
      </c>
      <c r="D36" s="22"/>
      <c r="E36" s="29">
        <v>1.05</v>
      </c>
      <c r="F36" s="29">
        <v>1.05</v>
      </c>
      <c r="G36" s="29">
        <v>1.05</v>
      </c>
      <c r="H36" s="29">
        <v>1.05</v>
      </c>
      <c r="I36" s="29">
        <v>1.05</v>
      </c>
      <c r="J36" s="35"/>
      <c r="K36" s="35"/>
    </row>
    <row r="37" spans="2:12" x14ac:dyDescent="0.25">
      <c r="B37" t="s">
        <v>58</v>
      </c>
      <c r="D37" s="30">
        <v>0.25</v>
      </c>
      <c r="E37" s="30">
        <v>0.25</v>
      </c>
      <c r="F37" s="30">
        <v>0.25</v>
      </c>
      <c r="G37" s="30">
        <v>0.25</v>
      </c>
      <c r="H37" s="30">
        <v>0.25</v>
      </c>
      <c r="I37" s="30">
        <v>0.25</v>
      </c>
    </row>
    <row r="40" spans="2:12" ht="15.75" customHeight="1" x14ac:dyDescent="0.25">
      <c r="B40" s="11"/>
      <c r="C40" s="102"/>
      <c r="D40" s="102"/>
      <c r="E40" s="102"/>
      <c r="F40" s="102"/>
      <c r="G40" s="102"/>
      <c r="H40" s="102"/>
      <c r="I40" s="102"/>
      <c r="J40" s="102"/>
      <c r="K40" s="102"/>
      <c r="L40" s="102"/>
    </row>
    <row r="41" spans="2:12" x14ac:dyDescent="0.25">
      <c r="C41" s="43"/>
      <c r="D41" s="43"/>
    </row>
    <row r="47" spans="2:12" x14ac:dyDescent="0.25">
      <c r="C47" s="33">
        <f>48390000-17626000</f>
        <v>30764000</v>
      </c>
      <c r="E47">
        <f>4418000+12017000+5362000-17626000-1000000</f>
        <v>3171000</v>
      </c>
    </row>
    <row r="48" spans="2:12" x14ac:dyDescent="0.25">
      <c r="E48">
        <f>4576000+12392000+7615000-19449000-1932000</f>
        <v>3202000</v>
      </c>
    </row>
  </sheetData>
  <mergeCells count="2">
    <mergeCell ref="B5:G5"/>
    <mergeCell ref="C40:L40"/>
  </mergeCells>
  <pageMargins left="0.75" right="0.75" top="1" bottom="1" header="0.5" footer="0.5"/>
  <ignoredErrors>
    <ignoredError sqref="F23:I23" formula="1"/>
  </ignoredError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2"/>
  <sheetViews>
    <sheetView showGridLines="0" workbookViewId="0">
      <selection activeCell="C5" sqref="C5"/>
    </sheetView>
  </sheetViews>
  <sheetFormatPr defaultRowHeight="15" x14ac:dyDescent="0.25"/>
  <cols>
    <col min="1" max="1" width="2.85546875" customWidth="1"/>
    <col min="2" max="2" width="41.140625" customWidth="1"/>
    <col min="3" max="3" width="17.28515625" customWidth="1"/>
  </cols>
  <sheetData>
    <row r="1" spans="2:4" ht="21" customHeight="1" x14ac:dyDescent="0.25"/>
    <row r="2" spans="2:4" ht="21" customHeight="1" x14ac:dyDescent="0.25">
      <c r="B2" s="103" t="s">
        <v>18</v>
      </c>
      <c r="C2" s="104"/>
      <c r="D2" s="104"/>
    </row>
    <row r="3" spans="2:4" ht="21" customHeight="1" x14ac:dyDescent="0.25">
      <c r="B3" s="2" t="s">
        <v>19</v>
      </c>
      <c r="C3" s="1"/>
      <c r="D3" s="1"/>
    </row>
    <row r="4" spans="2:4" ht="21" customHeight="1" x14ac:dyDescent="0.25">
      <c r="B4" s="10" t="s">
        <v>20</v>
      </c>
      <c r="C4" s="12" t="s">
        <v>45</v>
      </c>
      <c r="D4" s="1"/>
    </row>
    <row r="5" spans="2:4" ht="21" customHeight="1" x14ac:dyDescent="0.25">
      <c r="B5" s="10" t="s">
        <v>21</v>
      </c>
      <c r="C5" s="7">
        <v>1.83</v>
      </c>
      <c r="D5" s="1"/>
    </row>
    <row r="6" spans="2:4" ht="21" customHeight="1" x14ac:dyDescent="0.25">
      <c r="B6" s="10" t="s">
        <v>22</v>
      </c>
      <c r="C6" s="8">
        <v>5.5E-2</v>
      </c>
      <c r="D6" s="1"/>
    </row>
    <row r="7" spans="2:4" ht="21" customHeight="1" x14ac:dyDescent="0.25">
      <c r="B7" s="10" t="s">
        <v>23</v>
      </c>
      <c r="C7" s="5">
        <f>C4+C5*(C6)</f>
        <v>0.14365</v>
      </c>
      <c r="D7" s="1"/>
    </row>
    <row r="8" spans="2:4" ht="21" customHeight="1" x14ac:dyDescent="0.25">
      <c r="B8" s="1"/>
      <c r="C8" s="1"/>
      <c r="D8" s="1"/>
    </row>
    <row r="9" spans="2:4" ht="21" customHeight="1" x14ac:dyDescent="0.25">
      <c r="B9" s="2" t="s">
        <v>24</v>
      </c>
      <c r="C9" s="1"/>
      <c r="D9" s="1"/>
    </row>
    <row r="10" spans="2:4" ht="21" customHeight="1" x14ac:dyDescent="0.25">
      <c r="B10" s="10" t="s">
        <v>25</v>
      </c>
      <c r="C10" s="15">
        <v>5217000</v>
      </c>
      <c r="D10" s="1"/>
    </row>
    <row r="11" spans="2:4" ht="21" customHeight="1" x14ac:dyDescent="0.25">
      <c r="B11" s="10" t="s">
        <v>14</v>
      </c>
      <c r="C11" s="8">
        <v>0.27</v>
      </c>
      <c r="D11" s="1"/>
    </row>
    <row r="12" spans="2:4" ht="21" customHeight="1" x14ac:dyDescent="0.25">
      <c r="B12" s="10" t="s">
        <v>26</v>
      </c>
      <c r="C12" s="13">
        <v>2.2103260774655201E-2</v>
      </c>
      <c r="D12" s="1"/>
    </row>
    <row r="13" spans="2:4" ht="21" customHeight="1" x14ac:dyDescent="0.25">
      <c r="B13" s="10"/>
      <c r="C13" s="5"/>
      <c r="D13" s="1"/>
    </row>
    <row r="14" spans="2:4" ht="21" customHeight="1" x14ac:dyDescent="0.25">
      <c r="B14" s="10" t="s">
        <v>27</v>
      </c>
      <c r="C14" s="1"/>
      <c r="D14" s="1"/>
    </row>
    <row r="15" spans="2:4" ht="21" customHeight="1" x14ac:dyDescent="0.25">
      <c r="B15" s="2" t="s">
        <v>28</v>
      </c>
      <c r="C15" s="9"/>
      <c r="D15" s="1"/>
    </row>
    <row r="16" spans="2:4" ht="21" customHeight="1" x14ac:dyDescent="0.25">
      <c r="B16" s="10" t="s">
        <v>29</v>
      </c>
      <c r="C16" s="7">
        <v>14719000</v>
      </c>
      <c r="D16" s="1"/>
    </row>
    <row r="17" spans="2:4" ht="21" customHeight="1" x14ac:dyDescent="0.25">
      <c r="B17" s="10" t="s">
        <v>46</v>
      </c>
      <c r="C17" s="7">
        <v>32155000</v>
      </c>
      <c r="D17" s="1"/>
    </row>
    <row r="18" spans="2:4" ht="21" customHeight="1" x14ac:dyDescent="0.25">
      <c r="B18" s="10" t="s">
        <v>30</v>
      </c>
      <c r="C18" s="7">
        <v>46874000</v>
      </c>
      <c r="D18" s="1"/>
    </row>
    <row r="19" spans="2:4" ht="21" customHeight="1" x14ac:dyDescent="0.25">
      <c r="B19" s="10" t="s">
        <v>31</v>
      </c>
      <c r="C19" s="5">
        <f>C17/C18</f>
        <v>0.68598796774331183</v>
      </c>
      <c r="D19" s="1"/>
    </row>
    <row r="20" spans="2:4" ht="21" customHeight="1" thickBot="1" x14ac:dyDescent="0.3">
      <c r="B20" s="10" t="s">
        <v>32</v>
      </c>
      <c r="C20" s="5">
        <f>C16/C18</f>
        <v>0.31401203225668817</v>
      </c>
      <c r="D20" s="1"/>
    </row>
    <row r="21" spans="2:4" ht="21" customHeight="1" x14ac:dyDescent="0.25">
      <c r="B21" s="16" t="s">
        <v>33</v>
      </c>
      <c r="C21" s="14">
        <f>(C19*C7)+(C20*C12*(1-C11))</f>
        <v>0.10360887514613153</v>
      </c>
      <c r="D21" s="1"/>
    </row>
    <row r="22" spans="2:4" x14ac:dyDescent="0.25">
      <c r="B22" s="3"/>
      <c r="D22" s="1"/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H17"/>
  <sheetViews>
    <sheetView showGridLines="0" workbookViewId="0">
      <selection activeCell="C4" sqref="C4"/>
    </sheetView>
  </sheetViews>
  <sheetFormatPr defaultRowHeight="15" x14ac:dyDescent="0.25"/>
  <cols>
    <col min="1" max="1" width="4.7109375" customWidth="1"/>
    <col min="2" max="2" width="27.42578125" customWidth="1"/>
    <col min="3" max="3" width="11.42578125" customWidth="1"/>
    <col min="4" max="4" width="14.140625" customWidth="1"/>
    <col min="5" max="5" width="14.5703125" customWidth="1"/>
    <col min="6" max="6" width="13.28515625" customWidth="1"/>
    <col min="7" max="7" width="14.5703125" customWidth="1"/>
    <col min="8" max="8" width="20.28515625" customWidth="1"/>
  </cols>
  <sheetData>
    <row r="1" spans="2:8" ht="21" customHeight="1" x14ac:dyDescent="0.25"/>
    <row r="2" spans="2:8" ht="21" customHeight="1" x14ac:dyDescent="0.25">
      <c r="B2" s="103" t="s">
        <v>34</v>
      </c>
      <c r="C2" s="104"/>
      <c r="D2" s="104"/>
    </row>
    <row r="3" spans="2:8" ht="21" customHeight="1" x14ac:dyDescent="0.25">
      <c r="B3" s="10" t="s">
        <v>68</v>
      </c>
      <c r="C3" s="44">
        <v>0.04</v>
      </c>
      <c r="D3" s="1"/>
      <c r="E3" s="32"/>
    </row>
    <row r="4" spans="2:8" ht="21" customHeight="1" x14ac:dyDescent="0.25">
      <c r="B4" s="10" t="s">
        <v>35</v>
      </c>
      <c r="C4" s="50">
        <v>0.03</v>
      </c>
      <c r="D4" s="1"/>
    </row>
    <row r="5" spans="2:8" ht="21" customHeight="1" x14ac:dyDescent="0.25">
      <c r="B5" s="10" t="s">
        <v>33</v>
      </c>
      <c r="C5" s="5">
        <f>WACC!C21</f>
        <v>0.10360887514613153</v>
      </c>
      <c r="D5" s="1"/>
    </row>
    <row r="6" spans="2:8" x14ac:dyDescent="0.25">
      <c r="B6" s="10"/>
      <c r="C6" s="10"/>
      <c r="D6" s="1"/>
    </row>
    <row r="8" spans="2:8" x14ac:dyDescent="0.25">
      <c r="B8" s="45" t="s">
        <v>69</v>
      </c>
      <c r="C8" s="46">
        <f>FCF!D17</f>
        <v>2024</v>
      </c>
      <c r="D8" s="46">
        <f>FCF!E17</f>
        <v>2025</v>
      </c>
      <c r="E8" s="47" t="s">
        <v>70</v>
      </c>
      <c r="F8" s="47" t="s">
        <v>71</v>
      </c>
      <c r="G8" s="47" t="s">
        <v>72</v>
      </c>
      <c r="H8" s="47" t="s">
        <v>73</v>
      </c>
    </row>
    <row r="9" spans="2:8" x14ac:dyDescent="0.25">
      <c r="B9" s="10" t="s">
        <v>54</v>
      </c>
      <c r="C9">
        <f>FCF!D24</f>
        <v>7760000</v>
      </c>
      <c r="D9">
        <f>FCF!E24</f>
        <v>4849000</v>
      </c>
      <c r="E9">
        <f>FCF!F24</f>
        <v>8344775.9999999981</v>
      </c>
      <c r="F9">
        <f>FCF!G24</f>
        <v>9179253.5999999978</v>
      </c>
      <c r="G9">
        <f>FCF!H24</f>
        <v>10280764.031999992</v>
      </c>
      <c r="H9">
        <f>FCF!I24</f>
        <v>11822878.636800002</v>
      </c>
    </row>
    <row r="10" spans="2:8" x14ac:dyDescent="0.25">
      <c r="B10" s="10" t="s">
        <v>48</v>
      </c>
      <c r="C10">
        <f>FCF!C14</f>
        <v>3682750</v>
      </c>
      <c r="D10">
        <f>FCF!D14</f>
        <v>2959875</v>
      </c>
      <c r="E10" s="35">
        <f>FCF!E14</f>
        <v>3798884.3024999974</v>
      </c>
      <c r="F10" s="35">
        <f>FCF!F14</f>
        <v>3753218.9827499948</v>
      </c>
      <c r="G10" s="35">
        <f>FCF!G14</f>
        <v>3578041.2481799871</v>
      </c>
      <c r="H10" s="35">
        <f>FCF!H14</f>
        <v>3176401.416656998</v>
      </c>
    </row>
    <row r="13" spans="2:8" x14ac:dyDescent="0.25">
      <c r="F13" s="11"/>
      <c r="G13" s="11"/>
    </row>
    <row r="14" spans="2:8" x14ac:dyDescent="0.25">
      <c r="F14" s="11" t="s">
        <v>74</v>
      </c>
      <c r="G14" s="11"/>
      <c r="H14">
        <f>H10*(1+C4)/(C5-C4)</f>
        <v>44446997.086446442</v>
      </c>
    </row>
    <row r="15" spans="2:8" x14ac:dyDescent="0.25">
      <c r="F15" s="11" t="s">
        <v>75</v>
      </c>
      <c r="G15" s="11"/>
      <c r="H15">
        <f>H9*C3</f>
        <v>472915.14547200012</v>
      </c>
    </row>
    <row r="16" spans="2:8" x14ac:dyDescent="0.25">
      <c r="F16" s="48" t="s">
        <v>76</v>
      </c>
      <c r="G16" s="48"/>
      <c r="H16" s="49">
        <f>AVERAGE(H14:H15)</f>
        <v>22459956.11595922</v>
      </c>
    </row>
    <row r="17" spans="6:7" x14ac:dyDescent="0.25">
      <c r="F17" s="11"/>
      <c r="G17" s="11"/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1:I12"/>
  <sheetViews>
    <sheetView showGridLines="0" workbookViewId="0">
      <selection activeCell="C9" sqref="C9"/>
    </sheetView>
  </sheetViews>
  <sheetFormatPr defaultRowHeight="15" x14ac:dyDescent="0.25"/>
  <cols>
    <col min="1" max="1" width="3.7109375" customWidth="1"/>
    <col min="2" max="2" width="22.28515625" customWidth="1"/>
    <col min="3" max="6" width="14" customWidth="1"/>
    <col min="7" max="7" width="16" customWidth="1"/>
    <col min="8" max="8" width="14.5703125" bestFit="1" customWidth="1"/>
    <col min="9" max="9" width="20.7109375" customWidth="1"/>
  </cols>
  <sheetData>
    <row r="1" spans="2:9" ht="21" customHeight="1" x14ac:dyDescent="0.25"/>
    <row r="2" spans="2:9" ht="21" customHeight="1" x14ac:dyDescent="0.25">
      <c r="B2" s="103" t="s">
        <v>36</v>
      </c>
      <c r="C2" s="104"/>
      <c r="D2" s="104"/>
      <c r="E2" s="104"/>
      <c r="F2" s="104"/>
      <c r="G2" s="104"/>
      <c r="H2" s="104"/>
    </row>
    <row r="3" spans="2:9" ht="21" customHeight="1" x14ac:dyDescent="0.25">
      <c r="B3" s="54"/>
      <c r="C3" s="54"/>
      <c r="D3" s="54"/>
      <c r="E3" s="54"/>
      <c r="F3" s="54"/>
      <c r="G3" s="54"/>
      <c r="H3" s="54"/>
    </row>
    <row r="4" spans="2:9" ht="21" customHeight="1" x14ac:dyDescent="0.25">
      <c r="B4" s="55" t="s">
        <v>33</v>
      </c>
      <c r="C4" s="94">
        <f>WACC!C21</f>
        <v>0.10360887514613153</v>
      </c>
      <c r="D4" s="54"/>
      <c r="E4" s="54"/>
      <c r="F4" s="54"/>
      <c r="G4" s="54"/>
      <c r="H4" s="54"/>
    </row>
    <row r="5" spans="2:9" ht="21" customHeight="1" x14ac:dyDescent="0.25">
      <c r="B5" s="54"/>
      <c r="C5" s="54"/>
      <c r="D5" s="54"/>
      <c r="E5" s="54"/>
      <c r="F5" s="54"/>
      <c r="G5" s="54"/>
      <c r="H5" s="54"/>
    </row>
    <row r="6" spans="2:9" ht="21" customHeight="1" x14ac:dyDescent="0.25">
      <c r="B6" s="6" t="s">
        <v>5</v>
      </c>
      <c r="C6" s="6" t="s">
        <v>6</v>
      </c>
      <c r="D6" s="6" t="s">
        <v>7</v>
      </c>
      <c r="E6" s="6" t="s">
        <v>8</v>
      </c>
      <c r="F6" s="6" t="s">
        <v>9</v>
      </c>
      <c r="G6" s="6" t="s">
        <v>10</v>
      </c>
      <c r="H6" s="6" t="s">
        <v>103</v>
      </c>
      <c r="I6" s="31" t="s">
        <v>77</v>
      </c>
    </row>
    <row r="7" spans="2:9" ht="21" customHeight="1" x14ac:dyDescent="0.25">
      <c r="B7" s="1" t="s">
        <v>48</v>
      </c>
      <c r="C7" s="1">
        <f>FCF!C14</f>
        <v>3682750</v>
      </c>
      <c r="D7" s="1">
        <f>FCF!D14</f>
        <v>2959875</v>
      </c>
      <c r="E7" s="1">
        <f>FCF!E14</f>
        <v>3798884.3024999974</v>
      </c>
      <c r="F7" s="1">
        <f>FCF!F14</f>
        <v>3753218.9827499948</v>
      </c>
      <c r="G7" s="1">
        <f>FCF!G14</f>
        <v>3578041.2481799871</v>
      </c>
      <c r="H7" s="1">
        <f>FCF!H14</f>
        <v>3176401.416656998</v>
      </c>
      <c r="I7" s="57">
        <f>'Terminal Value'!H14</f>
        <v>44446997.086446442</v>
      </c>
    </row>
    <row r="8" spans="2:9" ht="21" customHeight="1" x14ac:dyDescent="0.25">
      <c r="B8" s="1" t="s">
        <v>37</v>
      </c>
      <c r="C8" s="1">
        <v>1</v>
      </c>
      <c r="D8" s="1">
        <v>2</v>
      </c>
      <c r="E8" s="1">
        <v>3</v>
      </c>
      <c r="F8" s="1">
        <v>4</v>
      </c>
      <c r="G8" s="1">
        <v>5</v>
      </c>
      <c r="H8" s="1">
        <v>6</v>
      </c>
      <c r="I8" s="57">
        <v>6</v>
      </c>
    </row>
    <row r="9" spans="2:9" ht="21" customHeight="1" x14ac:dyDescent="0.25">
      <c r="B9" s="1" t="s">
        <v>38</v>
      </c>
      <c r="C9" s="56">
        <f t="shared" ref="C9:I9" si="0">1/(1+$C$4)^C8</f>
        <v>0.90611812075866793</v>
      </c>
      <c r="D9" s="56">
        <f t="shared" si="0"/>
        <v>0.82105004876721976</v>
      </c>
      <c r="E9" s="56">
        <f t="shared" si="0"/>
        <v>0.74396832723776585</v>
      </c>
      <c r="F9" s="56">
        <f t="shared" si="0"/>
        <v>0.67412318258065396</v>
      </c>
      <c r="G9" s="56">
        <f t="shared" si="0"/>
        <v>0.61083523135983453</v>
      </c>
      <c r="H9" s="56">
        <f t="shared" si="0"/>
        <v>0.55348887193295937</v>
      </c>
      <c r="I9" s="56">
        <f t="shared" si="0"/>
        <v>0.55348887193295937</v>
      </c>
    </row>
    <row r="10" spans="2:9" x14ac:dyDescent="0.25">
      <c r="B10" s="4" t="s">
        <v>39</v>
      </c>
      <c r="C10" s="4">
        <f>C7*C9</f>
        <v>3337006.5092239846</v>
      </c>
      <c r="D10" s="4">
        <f t="shared" ref="D10:H10" si="1">D7*D9</f>
        <v>2430205.5130948746</v>
      </c>
      <c r="E10" s="4">
        <f t="shared" si="1"/>
        <v>2826249.59990073</v>
      </c>
      <c r="F10" s="4">
        <f t="shared" si="1"/>
        <v>2530131.9255735511</v>
      </c>
      <c r="G10" s="4">
        <f t="shared" si="1"/>
        <v>2185593.6536470535</v>
      </c>
      <c r="H10" s="4">
        <f t="shared" si="1"/>
        <v>1758102.8369117358</v>
      </c>
      <c r="I10" s="58">
        <f>I7*I9</f>
        <v>24600918.278184772</v>
      </c>
    </row>
    <row r="12" spans="2:9" x14ac:dyDescent="0.25">
      <c r="B12" s="59" t="s">
        <v>78</v>
      </c>
      <c r="C12" s="95">
        <f>SUM(C10:I10)</f>
        <v>39668208.316536702</v>
      </c>
    </row>
  </sheetData>
  <mergeCells count="1">
    <mergeCell ref="B2:H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2"/>
  <sheetViews>
    <sheetView showGridLines="0" workbookViewId="0">
      <selection activeCell="C8" sqref="C8"/>
    </sheetView>
  </sheetViews>
  <sheetFormatPr defaultRowHeight="15" x14ac:dyDescent="0.25"/>
  <cols>
    <col min="1" max="1" width="4.28515625" customWidth="1"/>
    <col min="2" max="2" width="27.7109375" customWidth="1"/>
    <col min="3" max="3" width="20.42578125" customWidth="1"/>
    <col min="4" max="4" width="12.42578125" customWidth="1"/>
  </cols>
  <sheetData>
    <row r="1" spans="1:4" ht="21" customHeight="1" x14ac:dyDescent="0.25"/>
    <row r="2" spans="1:4" ht="21" customHeight="1" x14ac:dyDescent="0.25">
      <c r="B2" s="105" t="s">
        <v>40</v>
      </c>
      <c r="C2" s="104"/>
      <c r="D2" s="104"/>
    </row>
    <row r="3" spans="1:4" ht="21" customHeight="1" x14ac:dyDescent="0.25">
      <c r="B3" s="10" t="s">
        <v>0</v>
      </c>
      <c r="C3" s="60">
        <f>SUM(Discounting!C10:I10)</f>
        <v>39668208.316536702</v>
      </c>
      <c r="D3" s="1"/>
    </row>
    <row r="4" spans="1:4" ht="21" customHeight="1" x14ac:dyDescent="0.25">
      <c r="B4" s="10" t="s">
        <v>41</v>
      </c>
      <c r="C4" s="7">
        <v>-14719000</v>
      </c>
      <c r="D4" s="1"/>
    </row>
    <row r="5" spans="1:4" ht="21" customHeight="1" x14ac:dyDescent="0.25">
      <c r="B5" s="10" t="s">
        <v>42</v>
      </c>
      <c r="C5" s="7">
        <v>44059000</v>
      </c>
      <c r="D5" s="1"/>
    </row>
    <row r="6" spans="1:4" ht="21" customHeight="1" x14ac:dyDescent="0.25">
      <c r="B6" s="16" t="s">
        <v>1</v>
      </c>
      <c r="C6" s="93">
        <f>SUM(C3:C5)</f>
        <v>69008208.316536695</v>
      </c>
      <c r="D6" s="1"/>
    </row>
    <row r="7" spans="1:4" ht="21" customHeight="1" x14ac:dyDescent="0.25">
      <c r="B7" s="10" t="s">
        <v>43</v>
      </c>
      <c r="C7" s="60">
        <v>375100</v>
      </c>
      <c r="D7" s="1"/>
    </row>
    <row r="8" spans="1:4" ht="21" customHeight="1" x14ac:dyDescent="0.25">
      <c r="B8" s="10" t="s">
        <v>44</v>
      </c>
      <c r="C8" s="61">
        <f>C6/C7</f>
        <v>183.97282942291841</v>
      </c>
      <c r="D8" s="1"/>
    </row>
    <row r="9" spans="1:4" ht="21" customHeight="1" x14ac:dyDescent="0.25">
      <c r="B9" s="10" t="s">
        <v>3</v>
      </c>
      <c r="C9" s="7">
        <v>332</v>
      </c>
      <c r="D9" s="1"/>
    </row>
    <row r="10" spans="1:4" x14ac:dyDescent="0.25">
      <c r="A10" s="11"/>
      <c r="B10" s="10" t="s">
        <v>4</v>
      </c>
      <c r="C10" s="5">
        <f>C8/C9-1</f>
        <v>-0.44586497161771566</v>
      </c>
      <c r="D10" s="1"/>
    </row>
    <row r="11" spans="1:4" x14ac:dyDescent="0.25">
      <c r="A11" s="11"/>
    </row>
    <row r="12" spans="1:4" x14ac:dyDescent="0.25">
      <c r="A12" s="11"/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F7B5DE-D46D-45B3-A323-CCCA549EFA06}">
  <dimension ref="A3:K47"/>
  <sheetViews>
    <sheetView showGridLines="0" tabSelected="1" topLeftCell="A14" workbookViewId="0">
      <selection activeCell="I33" sqref="I33"/>
    </sheetView>
  </sheetViews>
  <sheetFormatPr defaultRowHeight="15" x14ac:dyDescent="0.25"/>
  <cols>
    <col min="2" max="2" width="33.5703125" bestFit="1" customWidth="1"/>
    <col min="3" max="3" width="16.42578125" customWidth="1"/>
    <col min="4" max="4" width="13.42578125" bestFit="1" customWidth="1"/>
    <col min="5" max="5" width="16.5703125" bestFit="1" customWidth="1"/>
    <col min="6" max="8" width="13.42578125" bestFit="1" customWidth="1"/>
    <col min="9" max="9" width="16" bestFit="1" customWidth="1"/>
  </cols>
  <sheetData>
    <row r="3" spans="1:10" ht="21" x14ac:dyDescent="0.25">
      <c r="B3" s="101" t="s">
        <v>79</v>
      </c>
      <c r="C3" s="101"/>
      <c r="D3" s="101"/>
      <c r="E3" s="101"/>
      <c r="F3" s="101"/>
      <c r="G3" s="101"/>
      <c r="H3" s="101"/>
    </row>
    <row r="4" spans="1:10" ht="15.75" x14ac:dyDescent="0.25">
      <c r="A4" s="62"/>
      <c r="B4" s="63"/>
      <c r="C4" s="63"/>
      <c r="D4" s="63"/>
      <c r="E4" s="63"/>
      <c r="F4" s="63"/>
      <c r="G4" s="63"/>
      <c r="H4" s="63"/>
      <c r="I4" s="62"/>
    </row>
    <row r="5" spans="1:10" ht="15.75" x14ac:dyDescent="0.25">
      <c r="B5" s="64" t="s">
        <v>80</v>
      </c>
      <c r="C5" s="64"/>
      <c r="E5" s="64" t="s">
        <v>81</v>
      </c>
      <c r="F5" s="64"/>
    </row>
    <row r="6" spans="1:10" ht="15.75" x14ac:dyDescent="0.25">
      <c r="B6" s="65" t="s">
        <v>82</v>
      </c>
      <c r="C6" s="66">
        <f>'Terminal Value'!C4</f>
        <v>0.03</v>
      </c>
      <c r="E6" s="65" t="s">
        <v>21</v>
      </c>
      <c r="F6" s="88">
        <f>WACC!C5</f>
        <v>1.83</v>
      </c>
    </row>
    <row r="7" spans="1:10" ht="15.75" x14ac:dyDescent="0.25">
      <c r="B7" s="65" t="s">
        <v>83</v>
      </c>
      <c r="C7" s="67">
        <v>4</v>
      </c>
      <c r="E7" s="65" t="s">
        <v>84</v>
      </c>
      <c r="F7" s="68">
        <v>0.1</v>
      </c>
    </row>
    <row r="8" spans="1:10" ht="15.75" x14ac:dyDescent="0.25">
      <c r="B8" s="65" t="s">
        <v>24</v>
      </c>
      <c r="C8" s="86">
        <v>2.2100000000000002E-2</v>
      </c>
      <c r="E8" s="69" t="s">
        <v>85</v>
      </c>
      <c r="F8" s="70">
        <f>WACC!C17</f>
        <v>32155000</v>
      </c>
    </row>
    <row r="9" spans="1:10" ht="15.75" x14ac:dyDescent="0.25">
      <c r="B9" s="65" t="s">
        <v>14</v>
      </c>
      <c r="C9" s="68">
        <v>0.27</v>
      </c>
      <c r="E9" s="69" t="s">
        <v>86</v>
      </c>
      <c r="F9" s="70">
        <f>WACC!C16</f>
        <v>14719000</v>
      </c>
    </row>
    <row r="10" spans="1:10" ht="15.75" x14ac:dyDescent="0.25">
      <c r="B10" s="65" t="s">
        <v>87</v>
      </c>
      <c r="C10" s="66">
        <v>1.4999999999999999E-2</v>
      </c>
      <c r="E10" s="65"/>
      <c r="F10" s="65"/>
    </row>
    <row r="11" spans="1:10" ht="15.75" x14ac:dyDescent="0.25">
      <c r="C11" s="66"/>
    </row>
    <row r="13" spans="1:10" ht="15.75" x14ac:dyDescent="0.25">
      <c r="A13" s="71"/>
      <c r="B13" s="51" t="s">
        <v>69</v>
      </c>
      <c r="C13" s="51"/>
      <c r="D13" s="52">
        <f>FCF!D17</f>
        <v>2024</v>
      </c>
      <c r="E13" s="52">
        <f>FCF!E17</f>
        <v>2025</v>
      </c>
      <c r="F13" s="53">
        <f>FCF!F17</f>
        <v>2026</v>
      </c>
      <c r="G13" s="53">
        <f>FCF!G17</f>
        <v>2027</v>
      </c>
      <c r="H13" s="53">
        <f>FCF!H17</f>
        <v>2028</v>
      </c>
      <c r="I13" s="53">
        <f>FCF!I17</f>
        <v>2029</v>
      </c>
      <c r="J13" s="87"/>
    </row>
    <row r="14" spans="1:10" ht="15.75" x14ac:dyDescent="0.25">
      <c r="A14" s="71"/>
      <c r="B14" s="72"/>
      <c r="C14" s="73"/>
      <c r="D14" s="73"/>
      <c r="E14" s="73"/>
      <c r="F14" s="73"/>
      <c r="G14" s="73"/>
      <c r="H14" s="73"/>
      <c r="I14" s="65"/>
    </row>
    <row r="15" spans="1:10" ht="15.75" x14ac:dyDescent="0.25">
      <c r="B15" s="74" t="s">
        <v>88</v>
      </c>
    </row>
    <row r="16" spans="1:10" ht="15.75" x14ac:dyDescent="0.25">
      <c r="B16" s="71" t="s">
        <v>13</v>
      </c>
      <c r="C16" s="75"/>
      <c r="D16" s="70">
        <f>FCF!C9</f>
        <v>1173000</v>
      </c>
      <c r="E16" s="70">
        <f>FCF!D9</f>
        <v>652500</v>
      </c>
      <c r="F16" s="70">
        <f>FCF!E9</f>
        <v>666663.02999999747</v>
      </c>
      <c r="G16" s="70">
        <f>FCF!F9</f>
        <v>803784.33299999591</v>
      </c>
      <c r="H16" s="70">
        <f>FCF!G9</f>
        <v>1003807.3029599879</v>
      </c>
      <c r="I16" s="70">
        <f>FCF!H9</f>
        <v>1309731.6734040007</v>
      </c>
    </row>
    <row r="17" spans="2:11" ht="15.75" x14ac:dyDescent="0.25">
      <c r="B17" s="71" t="s">
        <v>15</v>
      </c>
      <c r="C17" s="75"/>
      <c r="D17" s="76">
        <f>FCF!C10</f>
        <v>293250</v>
      </c>
      <c r="E17" s="76">
        <f>FCF!D10</f>
        <v>163125</v>
      </c>
      <c r="F17" s="76">
        <f>FCF!E10</f>
        <v>166665.75749999937</v>
      </c>
      <c r="G17" s="76">
        <f>FCF!F10</f>
        <v>200946.08324999898</v>
      </c>
      <c r="H17" s="76">
        <f>FCF!G10</f>
        <v>250951.82573999697</v>
      </c>
      <c r="I17" s="76">
        <f>FCF!H10</f>
        <v>327432.91835100017</v>
      </c>
    </row>
    <row r="18" spans="2:11" ht="15.75" x14ac:dyDescent="0.25">
      <c r="B18" s="71" t="s">
        <v>16</v>
      </c>
      <c r="C18" s="75"/>
      <c r="D18" s="70">
        <f>FCF!C11</f>
        <v>5368000</v>
      </c>
      <c r="E18" s="70">
        <f>FCF!D11</f>
        <v>2854500</v>
      </c>
      <c r="F18" s="70">
        <f>FCF!E11</f>
        <v>6269012.9700000007</v>
      </c>
      <c r="G18" s="70">
        <f>FCF!F11</f>
        <v>6895914.2670000019</v>
      </c>
      <c r="H18" s="70">
        <f>FCF!G11</f>
        <v>7723423.9790400034</v>
      </c>
      <c r="I18" s="70">
        <f>FCF!H11</f>
        <v>8881937.5758960024</v>
      </c>
    </row>
    <row r="19" spans="2:11" ht="15.75" x14ac:dyDescent="0.25">
      <c r="B19" s="71" t="s">
        <v>17</v>
      </c>
      <c r="C19" s="75"/>
      <c r="D19" s="70">
        <f>FCF!C12</f>
        <v>-11342000</v>
      </c>
      <c r="E19" s="70">
        <f>FCF!D12</f>
        <v>-8527000</v>
      </c>
      <c r="F19" s="70">
        <f>FCF!E12</f>
        <v>-12930000</v>
      </c>
      <c r="G19" s="70">
        <f>FCF!F12</f>
        <v>-13576500</v>
      </c>
      <c r="H19" s="70">
        <f>FCF!G12</f>
        <v>-14255325</v>
      </c>
      <c r="I19" s="70">
        <f>FCF!H12</f>
        <v>-14968091.25</v>
      </c>
    </row>
    <row r="20" spans="2:11" ht="15.75" x14ac:dyDescent="0.25">
      <c r="B20" s="71" t="s">
        <v>89</v>
      </c>
      <c r="C20" s="75"/>
      <c r="D20" s="70">
        <f>FCF!C13</f>
        <v>3171000</v>
      </c>
      <c r="E20" s="70">
        <f>FCF!D13</f>
        <v>3202000</v>
      </c>
      <c r="F20" s="70">
        <f>FCF!E13</f>
        <v>3362100</v>
      </c>
      <c r="G20" s="70">
        <f>FCF!F13</f>
        <v>3530205</v>
      </c>
      <c r="H20" s="70">
        <f>FCF!G13</f>
        <v>3706715.25</v>
      </c>
      <c r="I20" s="70">
        <f>FCF!H13</f>
        <v>3892051.0125000002</v>
      </c>
    </row>
    <row r="21" spans="2:11" ht="15.75" x14ac:dyDescent="0.25">
      <c r="B21" s="77" t="s">
        <v>99</v>
      </c>
      <c r="C21" s="78"/>
      <c r="D21" s="79">
        <f>FCF!C14</f>
        <v>3682750</v>
      </c>
      <c r="E21" s="79">
        <f>FCF!D14</f>
        <v>2959875</v>
      </c>
      <c r="F21" s="79">
        <f>FCF!E14</f>
        <v>3798884.3024999974</v>
      </c>
      <c r="G21" s="79">
        <f>FCF!F14</f>
        <v>3753218.9827499948</v>
      </c>
      <c r="H21" s="79">
        <f>FCF!G14</f>
        <v>3578041.2481799871</v>
      </c>
      <c r="I21" s="79">
        <f>FCF!H14</f>
        <v>3176401.416656998</v>
      </c>
    </row>
    <row r="22" spans="2:11" ht="15.75" x14ac:dyDescent="0.25">
      <c r="C22" s="75"/>
      <c r="D22" s="75"/>
      <c r="E22" s="75"/>
      <c r="F22" s="75"/>
      <c r="G22" s="75"/>
      <c r="H22" s="75"/>
    </row>
    <row r="23" spans="2:11" ht="15.75" x14ac:dyDescent="0.25">
      <c r="B23" s="74" t="s">
        <v>33</v>
      </c>
      <c r="C23" s="80"/>
      <c r="D23" s="75"/>
      <c r="E23" s="75"/>
      <c r="F23" s="75"/>
      <c r="G23" s="75"/>
      <c r="H23" s="75"/>
    </row>
    <row r="24" spans="2:11" ht="15.75" x14ac:dyDescent="0.25">
      <c r="B24" s="71" t="s">
        <v>19</v>
      </c>
      <c r="C24" s="81">
        <f>WACC!C7</f>
        <v>0.14365</v>
      </c>
      <c r="D24" s="75"/>
      <c r="E24" s="75"/>
      <c r="F24" s="75"/>
      <c r="G24" s="75"/>
      <c r="H24" s="75"/>
    </row>
    <row r="25" spans="2:11" ht="15.75" x14ac:dyDescent="0.25">
      <c r="B25" s="71" t="s">
        <v>90</v>
      </c>
      <c r="C25" s="81">
        <f>WACC!C20</f>
        <v>0.31401203225668817</v>
      </c>
      <c r="D25" s="75"/>
      <c r="E25" s="75"/>
      <c r="F25" s="75"/>
      <c r="G25" s="75"/>
      <c r="H25" s="75"/>
    </row>
    <row r="26" spans="2:11" ht="15.75" x14ac:dyDescent="0.25">
      <c r="B26" s="71" t="s">
        <v>91</v>
      </c>
      <c r="C26" s="81">
        <f>WACC!C19</f>
        <v>0.68598796774331183</v>
      </c>
      <c r="D26" s="75"/>
      <c r="E26" s="75"/>
      <c r="F26" s="75"/>
      <c r="G26" s="75"/>
      <c r="H26" s="75"/>
    </row>
    <row r="27" spans="2:11" ht="15.75" x14ac:dyDescent="0.25">
      <c r="B27" s="77" t="s">
        <v>33</v>
      </c>
      <c r="C27" s="82">
        <f>(C26*C24)+(C25*C8*(1-C9))</f>
        <v>0.1036081276827239</v>
      </c>
      <c r="D27" s="75"/>
      <c r="E27" s="75"/>
      <c r="F27" s="75"/>
      <c r="G27" s="75"/>
      <c r="H27" s="75"/>
    </row>
    <row r="28" spans="2:11" ht="15.75" x14ac:dyDescent="0.25">
      <c r="C28" s="75"/>
      <c r="D28" s="75"/>
      <c r="E28" s="75"/>
      <c r="F28" s="75"/>
      <c r="G28" s="75"/>
      <c r="H28" s="75"/>
    </row>
    <row r="29" spans="2:11" ht="15.75" x14ac:dyDescent="0.25">
      <c r="B29" s="74" t="s">
        <v>77</v>
      </c>
      <c r="C29" s="80"/>
      <c r="D29" s="80"/>
      <c r="E29" s="80"/>
      <c r="F29" s="80"/>
      <c r="G29" s="80"/>
      <c r="H29" s="80"/>
      <c r="I29" s="80"/>
    </row>
    <row r="30" spans="2:11" ht="15.75" x14ac:dyDescent="0.25">
      <c r="B30" s="71" t="s">
        <v>54</v>
      </c>
      <c r="D30" s="75"/>
      <c r="E30" s="75"/>
      <c r="F30" s="75"/>
      <c r="G30" s="75"/>
      <c r="H30" s="75"/>
      <c r="I30" s="75">
        <f>'Terminal Value'!H9</f>
        <v>11822878.636800002</v>
      </c>
    </row>
    <row r="31" spans="2:11" ht="15.75" x14ac:dyDescent="0.25">
      <c r="B31" s="71" t="s">
        <v>100</v>
      </c>
      <c r="C31" s="75"/>
      <c r="D31" s="89"/>
      <c r="E31" s="89"/>
      <c r="F31" s="89"/>
      <c r="G31" s="89"/>
      <c r="H31" s="89"/>
      <c r="I31" s="89">
        <f t="shared" ref="I31" si="0">I30*$C$7</f>
        <v>47291514.547200009</v>
      </c>
      <c r="J31" s="75"/>
      <c r="K31" s="75"/>
    </row>
    <row r="32" spans="2:11" ht="15.75" x14ac:dyDescent="0.25">
      <c r="B32" s="71" t="s">
        <v>92</v>
      </c>
      <c r="C32" s="75"/>
      <c r="D32" s="75"/>
      <c r="E32" s="75"/>
      <c r="F32" s="75"/>
      <c r="G32" s="75"/>
      <c r="H32" s="75"/>
      <c r="I32" s="75">
        <f>'Terminal Value'!H10*(1+'Terminal Value'!$C$4)/('Terminal Value'!$C$5-'Terminal Value'!$C$4)</f>
        <v>44446997.086446442</v>
      </c>
    </row>
    <row r="33" spans="2:9" ht="15.75" x14ac:dyDescent="0.25">
      <c r="B33" s="77" t="s">
        <v>93</v>
      </c>
      <c r="C33" s="78"/>
      <c r="D33" s="78"/>
      <c r="E33" s="78"/>
      <c r="F33" s="78"/>
      <c r="G33" s="78"/>
      <c r="H33" s="78"/>
      <c r="I33" s="78">
        <f>'Terminal Value'!H16</f>
        <v>22459956.11595922</v>
      </c>
    </row>
    <row r="34" spans="2:9" ht="15.75" x14ac:dyDescent="0.25">
      <c r="C34" s="75"/>
      <c r="D34" s="75"/>
      <c r="E34" s="75"/>
      <c r="F34" s="75"/>
      <c r="G34" s="75"/>
      <c r="H34" s="75"/>
    </row>
    <row r="35" spans="2:9" ht="15.75" x14ac:dyDescent="0.25">
      <c r="B35" s="83" t="s">
        <v>94</v>
      </c>
      <c r="C35" s="80"/>
      <c r="D35" s="80"/>
      <c r="E35" s="80"/>
      <c r="F35" s="80"/>
      <c r="G35" s="80"/>
      <c r="H35" s="80"/>
      <c r="I35" s="80"/>
    </row>
    <row r="36" spans="2:9" ht="15.75" x14ac:dyDescent="0.25">
      <c r="B36" s="71" t="s">
        <v>38</v>
      </c>
      <c r="C36" s="75"/>
      <c r="D36" s="84">
        <f>Discounting!C9</f>
        <v>0.90611812075866793</v>
      </c>
      <c r="E36" s="84">
        <f>Discounting!D9</f>
        <v>0.82105004876721976</v>
      </c>
      <c r="F36" s="84">
        <f>Discounting!E9</f>
        <v>0.74396832723776585</v>
      </c>
      <c r="G36" s="84">
        <f>Discounting!F9</f>
        <v>0.67412318258065396</v>
      </c>
      <c r="H36" s="84">
        <f>Discounting!G9</f>
        <v>0.61083523135983453</v>
      </c>
      <c r="I36" s="84">
        <f>Discounting!I9</f>
        <v>0.55348887193295937</v>
      </c>
    </row>
    <row r="37" spans="2:9" ht="15.75" x14ac:dyDescent="0.25">
      <c r="B37" s="71" t="s">
        <v>95</v>
      </c>
      <c r="C37" s="75"/>
      <c r="D37" s="76">
        <f>D36*D21</f>
        <v>3337006.5092239846</v>
      </c>
      <c r="E37" s="76">
        <f t="shared" ref="E37:H37" si="1">E36*E21</f>
        <v>2430205.5130948746</v>
      </c>
      <c r="F37" s="76">
        <f t="shared" si="1"/>
        <v>2826249.59990073</v>
      </c>
      <c r="G37" s="76">
        <f t="shared" si="1"/>
        <v>2530131.9255735511</v>
      </c>
      <c r="H37" s="76">
        <f t="shared" si="1"/>
        <v>2185593.6536470535</v>
      </c>
    </row>
    <row r="38" spans="2:9" ht="15.75" x14ac:dyDescent="0.25">
      <c r="B38" s="98" t="s">
        <v>96</v>
      </c>
      <c r="C38" s="75"/>
      <c r="D38" s="75"/>
      <c r="E38" s="75"/>
      <c r="F38" s="75"/>
      <c r="G38" s="75"/>
      <c r="I38" s="91">
        <f>I36*I21</f>
        <v>1758102.8369117358</v>
      </c>
    </row>
    <row r="39" spans="2:9" ht="15.75" x14ac:dyDescent="0.25">
      <c r="B39" s="77" t="s">
        <v>0</v>
      </c>
      <c r="C39" s="49"/>
      <c r="D39" s="90"/>
      <c r="E39" s="90"/>
      <c r="F39" s="90"/>
      <c r="G39" s="90"/>
      <c r="H39" s="90"/>
      <c r="I39" s="92">
        <f>Discounting!C12</f>
        <v>39668208.316536702</v>
      </c>
    </row>
    <row r="40" spans="2:9" ht="15.75" x14ac:dyDescent="0.25">
      <c r="D40" s="75"/>
      <c r="E40" s="75"/>
      <c r="F40" s="75"/>
      <c r="G40" s="75"/>
      <c r="H40" s="75"/>
    </row>
    <row r="41" spans="2:9" ht="15.75" x14ac:dyDescent="0.25">
      <c r="B41" s="74" t="s">
        <v>40</v>
      </c>
      <c r="C41" s="80"/>
      <c r="D41" s="75"/>
      <c r="E41" s="75"/>
      <c r="F41" s="75"/>
      <c r="G41" s="75"/>
      <c r="H41" s="75"/>
    </row>
    <row r="42" spans="2:9" ht="15.75" x14ac:dyDescent="0.25">
      <c r="B42" s="71" t="s">
        <v>97</v>
      </c>
      <c r="C42" s="70">
        <f>'EV to Equity Value'!C5</f>
        <v>44059000</v>
      </c>
      <c r="D42" s="75"/>
      <c r="E42" s="75"/>
      <c r="F42" s="75"/>
      <c r="G42" s="75"/>
      <c r="H42" s="75"/>
    </row>
    <row r="43" spans="2:9" ht="15.75" x14ac:dyDescent="0.25">
      <c r="B43" s="71" t="s">
        <v>101</v>
      </c>
      <c r="C43" s="70">
        <f>'EV to Equity Value'!C4</f>
        <v>-14719000</v>
      </c>
      <c r="D43" s="75"/>
      <c r="E43" s="75"/>
      <c r="F43" s="75"/>
      <c r="G43" s="75"/>
      <c r="H43" s="75"/>
    </row>
    <row r="44" spans="2:9" ht="15.75" x14ac:dyDescent="0.25">
      <c r="B44" s="77" t="s">
        <v>1</v>
      </c>
      <c r="C44" s="79">
        <f>I39+C42+C43</f>
        <v>69008208.316536695</v>
      </c>
      <c r="D44" s="75"/>
      <c r="E44" s="75"/>
      <c r="F44" s="75"/>
      <c r="G44" s="75"/>
      <c r="H44" s="75"/>
    </row>
    <row r="45" spans="2:9" ht="15.75" x14ac:dyDescent="0.25">
      <c r="C45" s="75"/>
      <c r="D45" s="75"/>
      <c r="E45" s="75"/>
      <c r="F45" s="75"/>
      <c r="G45" s="75"/>
      <c r="H45" s="75"/>
    </row>
    <row r="46" spans="2:9" ht="15.75" x14ac:dyDescent="0.25">
      <c r="B46" s="71" t="s">
        <v>2</v>
      </c>
      <c r="C46" s="70">
        <f>'EV to Equity Value'!C7</f>
        <v>375100</v>
      </c>
      <c r="D46" s="75"/>
      <c r="E46" s="75"/>
      <c r="F46" s="75"/>
      <c r="G46" s="75"/>
      <c r="H46" s="75"/>
    </row>
    <row r="47" spans="2:9" ht="15.75" x14ac:dyDescent="0.25">
      <c r="B47" s="77" t="s">
        <v>98</v>
      </c>
      <c r="C47" s="85">
        <f>C44/C46</f>
        <v>183.97282942291841</v>
      </c>
      <c r="D47" s="75"/>
      <c r="E47" s="75"/>
      <c r="F47" s="75"/>
      <c r="G47" s="75"/>
      <c r="H47" s="75"/>
    </row>
  </sheetData>
  <mergeCells count="1">
    <mergeCell ref="B3:H3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FCF</vt:lpstr>
      <vt:lpstr>WACC</vt:lpstr>
      <vt:lpstr>Terminal Value</vt:lpstr>
      <vt:lpstr>Discounting</vt:lpstr>
      <vt:lpstr>EV to Equity Value</vt:lpstr>
      <vt:lpstr>FULL DCF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Govind Patidar</cp:lastModifiedBy>
  <dcterms:created xsi:type="dcterms:W3CDTF">2026-08-12T06:34:48Z</dcterms:created>
  <dcterms:modified xsi:type="dcterms:W3CDTF">2026-09-27T12:24:40Z</dcterms:modified>
</cp:coreProperties>
</file>