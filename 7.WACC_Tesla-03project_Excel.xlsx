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9634876-8C34-4560-876A-5B924504AFBC}" xr6:coauthVersionLast="47" xr6:coauthVersionMax="47" xr10:uidLastSave="{00000000-0000-0000-0000-000000000000}"/>
  <bookViews>
    <workbookView xWindow="-120" yWindow="-120" windowWidth="20730" windowHeight="11160" xr2:uid="{572A8D4E-02E2-49FC-95AB-641397423CB2}"/>
  </bookViews>
  <sheets>
    <sheet name="Capital Structure" sheetId="1" r:id="rId1"/>
    <sheet name="Raw Data" sheetId="5" r:id="rId2"/>
    <sheet name="Cost Of Equity " sheetId="6" r:id="rId3"/>
    <sheet name="Cost Of Debt " sheetId="3" r:id="rId4"/>
    <sheet name="WACC" sheetId="2" r:id="rId5"/>
    <sheet name="Sensitivity Analysis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4" l="1"/>
  <c r="E11" i="4"/>
  <c r="C8" i="2"/>
  <c r="C5" i="2"/>
  <c r="D11" i="4"/>
  <c r="D12" i="4"/>
  <c r="C12" i="4"/>
  <c r="C11" i="4"/>
  <c r="D8" i="4"/>
  <c r="E8" i="4" s="1"/>
  <c r="F8" i="4" s="1"/>
  <c r="F6" i="4"/>
  <c r="D7" i="4"/>
  <c r="E7" i="4" s="1"/>
  <c r="F7" i="4" s="1"/>
  <c r="C8" i="4"/>
  <c r="C7" i="4"/>
  <c r="H14" i="1"/>
  <c r="G14" i="1"/>
  <c r="C6" i="6"/>
  <c r="C6" i="2"/>
  <c r="J14" i="1"/>
  <c r="C8" i="3"/>
  <c r="C9" i="3" s="1"/>
  <c r="C5" i="3"/>
</calcChain>
</file>

<file path=xl/sharedStrings.xml><?xml version="1.0" encoding="utf-8"?>
<sst xmlns="http://schemas.openxmlformats.org/spreadsheetml/2006/main" count="119" uniqueCount="90">
  <si>
    <t xml:space="preserve">Weighted average cost of capital </t>
  </si>
  <si>
    <t xml:space="preserve">Peer Comps </t>
  </si>
  <si>
    <t>Name of the Comp</t>
  </si>
  <si>
    <t xml:space="preserve">Country </t>
  </si>
  <si>
    <t xml:space="preserve">Total Debt </t>
  </si>
  <si>
    <t xml:space="preserve">Total Equity </t>
  </si>
  <si>
    <t>Debt /</t>
  </si>
  <si>
    <t xml:space="preserve">Equity </t>
  </si>
  <si>
    <t>Capital</t>
  </si>
  <si>
    <t xml:space="preserve">Levered </t>
  </si>
  <si>
    <t>Unlevered</t>
  </si>
  <si>
    <r>
      <t xml:space="preserve">Tax Rate </t>
    </r>
    <r>
      <rPr>
        <b/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</si>
  <si>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</si>
  <si>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</rPr>
      <t>3</t>
    </r>
  </si>
  <si>
    <t>United States</t>
  </si>
  <si>
    <t xml:space="preserve">Tesla </t>
  </si>
  <si>
    <t>Component</t>
  </si>
  <si>
    <t>Value</t>
  </si>
  <si>
    <t>Weight of Equity (E/V)</t>
  </si>
  <si>
    <t>Weight of Debt (D/V)</t>
  </si>
  <si>
    <t>Cost of Equity (Re)</t>
  </si>
  <si>
    <t>After-tax Cost of Debt (Rd)</t>
  </si>
  <si>
    <t>Tax Rate</t>
  </si>
  <si>
    <t>27.00%</t>
  </si>
  <si>
    <t>WACC</t>
  </si>
  <si>
    <t>Input</t>
  </si>
  <si>
    <t>Formula/Notes</t>
  </si>
  <si>
    <t>Interest Expense</t>
  </si>
  <si>
    <t>Pre-tax Cost of Debt</t>
  </si>
  <si>
    <t>2.08%</t>
  </si>
  <si>
    <t>After-tax Cost of Debt</t>
  </si>
  <si>
    <t>Scenario</t>
  </si>
  <si>
    <t>Enterprise Value</t>
  </si>
  <si>
    <t>Equity Value</t>
  </si>
  <si>
    <t>Share Price</t>
  </si>
  <si>
    <t>Base Case</t>
  </si>
  <si>
    <t>Low Beta</t>
  </si>
  <si>
    <t>High Beta</t>
  </si>
  <si>
    <t>Metric</t>
  </si>
  <si>
    <t>Source</t>
  </si>
  <si>
    <t>Company Name</t>
  </si>
  <si>
    <t>Tesla Inc.</t>
  </si>
  <si>
    <t>Ticker</t>
  </si>
  <si>
    <t>TSLA</t>
  </si>
  <si>
    <t>Market Capitalization (E)</t>
  </si>
  <si>
    <t>Market Value of Debt (D)</t>
  </si>
  <si>
    <t>Risk-Free Rate</t>
  </si>
  <si>
    <t>4.30%</t>
  </si>
  <si>
    <t>Market Risk Premium</t>
  </si>
  <si>
    <t>5.50%</t>
  </si>
  <si>
    <t>Levered Beta</t>
  </si>
  <si>
    <t>Total Debt</t>
  </si>
  <si>
    <t>Shares Outstanding</t>
  </si>
  <si>
    <t>Current Share Price</t>
  </si>
  <si>
    <t xml:space="preserve">Yahoo Finance </t>
  </si>
  <si>
    <t>(EquityWeight*Re)+(DebtWeight*Rd*(1-TaxRate))</t>
  </si>
  <si>
    <t>Formula</t>
  </si>
  <si>
    <t xml:space="preserve">Tax Expense </t>
  </si>
  <si>
    <t xml:space="preserve">Cost of Debt </t>
  </si>
  <si>
    <t>Effective Tax Rate</t>
  </si>
  <si>
    <t xml:space="preserve">Cost of Equity </t>
  </si>
  <si>
    <t>318.23 USD</t>
  </si>
  <si>
    <t>1194135.8 million</t>
  </si>
  <si>
    <t xml:space="preserve">Outstanding shares * Current share  price </t>
  </si>
  <si>
    <t xml:space="preserve">Total Value </t>
  </si>
  <si>
    <t xml:space="preserve">Total Equity / Total Value </t>
  </si>
  <si>
    <t xml:space="preserve">Total Debt / Total Value </t>
  </si>
  <si>
    <t>Interest exp/ Total debt</t>
  </si>
  <si>
    <t xml:space="preserve">Tax Expense/ Effective tax Rate </t>
  </si>
  <si>
    <t>Cost of Debt* (1-Effective Tax Rate)</t>
  </si>
  <si>
    <t>Low WACC (-1)</t>
  </si>
  <si>
    <t>High WACC (+1)</t>
  </si>
  <si>
    <t>All figures are in USD (mn)</t>
  </si>
  <si>
    <t>Assume a ±10% change in WACC</t>
  </si>
  <si>
    <t>Assume a ±10% change in beta</t>
  </si>
  <si>
    <t xml:space="preserve">Change Beta  </t>
  </si>
  <si>
    <t>Changes in COE</t>
  </si>
  <si>
    <t>New WACC</t>
  </si>
  <si>
    <t>Calculations</t>
  </si>
  <si>
    <t>1. Low WACC Scenario</t>
  </si>
  <si>
    <t>1. Low WACC Scenario:</t>
  </si>
  <si>
    <t xml:space="preserve">   Base EV = 1,194,135.8</t>
  </si>
  <si>
    <t xml:space="preserve">   Increase by 10%</t>
  </si>
  <si>
    <t xml:space="preserve">   EV=1,194,135.8×1.10</t>
  </si>
  <si>
    <t xml:space="preserve">       = 1,313,549.4</t>
  </si>
  <si>
    <t xml:space="preserve">   Equity Value= EV - Total debt </t>
  </si>
  <si>
    <t xml:space="preserve">   1,313,549.4−14,719=1,298,830.4</t>
  </si>
  <si>
    <t xml:space="preserve">   Share Price:</t>
  </si>
  <si>
    <t xml:space="preserve">   1,298,830.4/3,752.43</t>
  </si>
  <si>
    <t xml:space="preserve">     ​=350.05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</si>
</sst>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2" fontId="0" fillId="0" borderId="0" xfId="0" applyNumberFormat="1"/>
    <xf numFmtId="10" fontId="0" fillId="0" borderId="0" xfId="0" applyNumberFormat="1"/>
    <xf numFmtId="0" fontId="3" fillId="3" borderId="0" xfId="0" applyFont="1" applyFill="1"/>
    <xf numFmtId="0" fontId="4" fillId="3" borderId="0" xfId="0" applyFont="1" applyFill="1"/>
    <xf numFmtId="10" fontId="0" fillId="0" borderId="0" xfId="0" applyNumberFormat="1" applyAlignment="1">
      <alignment horizontal="right"/>
    </xf>
    <xf numFmtId="3" fontId="0" fillId="0" borderId="0" xfId="0" applyNumberFormat="1"/>
    <xf numFmtId="10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7" borderId="0" xfId="0" applyNumberFormat="1" applyFill="1"/>
    <xf numFmtId="0" fontId="0" fillId="4" borderId="0" xfId="0" applyFill="1" applyAlignment="1">
      <alignment horizontal="right"/>
    </xf>
    <xf numFmtId="10" fontId="1" fillId="7" borderId="1" xfId="0" applyNumberFormat="1" applyFont="1" applyFill="1" applyBorder="1" applyAlignment="1">
      <alignment horizontal="left"/>
    </xf>
    <xf numFmtId="10" fontId="1" fillId="7" borderId="1" xfId="0" applyNumberFormat="1" applyFont="1" applyFill="1" applyBorder="1" applyAlignment="1">
      <alignment horizontal="right"/>
    </xf>
    <xf numFmtId="0" fontId="0" fillId="4" borderId="1" xfId="0" applyFill="1" applyBorder="1"/>
    <xf numFmtId="0" fontId="0" fillId="0" borderId="0" xfId="0" applyAlignment="1">
      <alignment horizontal="right"/>
    </xf>
    <xf numFmtId="3" fontId="0" fillId="4" borderId="0" xfId="0" applyNumberFormat="1" applyFill="1" applyAlignment="1">
      <alignment horizontal="right"/>
    </xf>
    <xf numFmtId="164" fontId="0" fillId="0" borderId="0" xfId="0" applyNumberFormat="1"/>
    <xf numFmtId="0" fontId="5" fillId="0" borderId="0" xfId="0" applyFont="1"/>
    <xf numFmtId="10" fontId="5" fillId="0" borderId="0" xfId="0" applyNumberFormat="1" applyFont="1"/>
    <xf numFmtId="2" fontId="0" fillId="4" borderId="0" xfId="0" applyNumberFormat="1" applyFill="1"/>
    <xf numFmtId="10" fontId="0" fillId="8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el.wikipedia.org/wiki/Tesla,_Inc.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136813</xdr:rowOff>
    </xdr:from>
    <xdr:to>
      <xdr:col>1</xdr:col>
      <xdr:colOff>876300</xdr:colOff>
      <xdr:row>4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62C772-7B83-0CB1-85C4-8439B0AE9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33400" y="136813"/>
          <a:ext cx="571500" cy="739486"/>
        </a:xfrm>
        <a:prstGeom prst="rect">
          <a:avLst/>
        </a:prstGeom>
      </xdr:spPr>
    </xdr:pic>
    <xdr:clientData/>
  </xdr:twoCellAnchor>
  <xdr:oneCellAnchor>
    <xdr:from>
      <xdr:col>1</xdr:col>
      <xdr:colOff>1323975</xdr:colOff>
      <xdr:row>20</xdr:row>
      <xdr:rowOff>54136</xdr:rowOff>
    </xdr:from>
    <xdr:ext cx="175260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506AB4-D853-65A2-E35C-4BC92E2C660F}"/>
            </a:ext>
          </a:extLst>
        </xdr:cNvPr>
        <xdr:cNvSpPr txBox="1"/>
      </xdr:nvSpPr>
      <xdr:spPr>
        <a:xfrm>
          <a:off x="1552575" y="3911761"/>
          <a:ext cx="17526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oneCellAnchor>
    <xdr:from>
      <xdr:col>1</xdr:col>
      <xdr:colOff>1190624</xdr:colOff>
      <xdr:row>1</xdr:row>
      <xdr:rowOff>95250</xdr:rowOff>
    </xdr:from>
    <xdr:ext cx="5286376" cy="5979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C4D174-5734-60A8-BCFF-8EDC58361B69}"/>
            </a:ext>
          </a:extLst>
        </xdr:cNvPr>
        <xdr:cNvSpPr txBox="1"/>
      </xdr:nvSpPr>
      <xdr:spPr>
        <a:xfrm>
          <a:off x="1419224" y="285750"/>
          <a:ext cx="5286376" cy="5979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4000">
              <a:latin typeface="Bahnschrift" panose="020B0502040204020203" pitchFamily="34" charset="0"/>
            </a:rPr>
            <a:t>Tesla WACC Valuation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D31A-C295-4F0C-88F4-94B5FCCA67E0}">
  <sheetPr>
    <tabColor theme="9" tint="0.79998168889431442"/>
  </sheetPr>
  <dimension ref="B6:J14"/>
  <sheetViews>
    <sheetView showGridLines="0" tabSelected="1" workbookViewId="0">
      <selection activeCell="E20" sqref="E20"/>
    </sheetView>
  </sheetViews>
  <sheetFormatPr defaultRowHeight="15" x14ac:dyDescent="0.25"/>
  <cols>
    <col min="1" max="1" width="3.42578125" customWidth="1"/>
    <col min="2" max="2" width="31" bestFit="1" customWidth="1"/>
    <col min="3" max="3" width="12.85546875" bestFit="1" customWidth="1"/>
    <col min="4" max="4" width="10.5703125" bestFit="1" customWidth="1"/>
    <col min="5" max="5" width="11.85546875" bestFit="1" customWidth="1"/>
    <col min="6" max="6" width="9.5703125" bestFit="1" customWidth="1"/>
    <col min="7" max="7" width="8.28515625" customWidth="1"/>
    <col min="8" max="8" width="9.42578125" customWidth="1"/>
    <col min="9" max="9" width="8.85546875" customWidth="1"/>
  </cols>
  <sheetData>
    <row r="6" spans="2:10" x14ac:dyDescent="0.25">
      <c r="B6" s="2" t="s">
        <v>0</v>
      </c>
      <c r="C6" s="3"/>
      <c r="D6" s="3"/>
      <c r="E6" s="3"/>
      <c r="F6" s="3"/>
      <c r="G6" s="3"/>
      <c r="H6" s="3"/>
      <c r="I6" s="3"/>
      <c r="J6" s="3"/>
    </row>
    <row r="8" spans="2:10" x14ac:dyDescent="0.25">
      <c r="B8" t="s">
        <v>72</v>
      </c>
    </row>
    <row r="10" spans="2:10" ht="15.75" thickBot="1" x14ac:dyDescent="0.3">
      <c r="B10" s="1" t="s">
        <v>1</v>
      </c>
    </row>
    <row r="11" spans="2:10" x14ac:dyDescent="0.25">
      <c r="B11" s="4"/>
      <c r="C11" s="4"/>
      <c r="D11" s="4"/>
      <c r="E11" s="4"/>
      <c r="F11" s="4"/>
      <c r="G11" s="4" t="s">
        <v>6</v>
      </c>
      <c r="H11" s="4" t="s">
        <v>6</v>
      </c>
      <c r="I11" s="4" t="s">
        <v>9</v>
      </c>
      <c r="J11" s="4" t="s">
        <v>10</v>
      </c>
    </row>
    <row r="12" spans="2:10" ht="18" thickBot="1" x14ac:dyDescent="0.3">
      <c r="B12" s="5" t="s">
        <v>2</v>
      </c>
      <c r="C12" s="5" t="s">
        <v>3</v>
      </c>
      <c r="D12" s="5" t="s">
        <v>4</v>
      </c>
      <c r="E12" s="5" t="s">
        <v>5</v>
      </c>
      <c r="F12" s="5" t="s">
        <v>11</v>
      </c>
      <c r="G12" s="5" t="s">
        <v>7</v>
      </c>
      <c r="H12" s="5" t="s">
        <v>8</v>
      </c>
      <c r="I12" s="5" t="s">
        <v>12</v>
      </c>
      <c r="J12" s="5" t="s">
        <v>13</v>
      </c>
    </row>
    <row r="14" spans="2:10" x14ac:dyDescent="0.25">
      <c r="B14" s="1" t="s">
        <v>15</v>
      </c>
      <c r="C14" t="s">
        <v>14</v>
      </c>
      <c r="D14">
        <v>14719000</v>
      </c>
      <c r="E14">
        <v>32155000</v>
      </c>
      <c r="F14" s="6">
        <v>0.27</v>
      </c>
      <c r="G14" s="6">
        <f>E14/D14</f>
        <v>2.1845913445206877</v>
      </c>
      <c r="H14" s="6">
        <f>D14/E14</f>
        <v>0.45775151609392006</v>
      </c>
      <c r="I14" s="6">
        <v>1.83</v>
      </c>
      <c r="J14" s="6">
        <f>I14/(1+(1-0.21)*G14)</f>
        <v>0.67135584581314967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2F67-38FF-499E-A4EF-51B261665CEA}">
  <sheetPr>
    <tabColor theme="4" tint="0.79998168889431442"/>
  </sheetPr>
  <dimension ref="B2:E17"/>
  <sheetViews>
    <sheetView topLeftCell="A2" workbookViewId="0">
      <selection activeCell="C12" sqref="C12"/>
    </sheetView>
  </sheetViews>
  <sheetFormatPr defaultRowHeight="15" x14ac:dyDescent="0.25"/>
  <cols>
    <col min="1" max="1" width="4.7109375" customWidth="1"/>
    <col min="2" max="2" width="23.42578125" bestFit="1" customWidth="1"/>
    <col min="3" max="3" width="23.5703125" bestFit="1" customWidth="1"/>
    <col min="4" max="4" width="14.28515625" bestFit="1" customWidth="1"/>
    <col min="5" max="5" width="38.5703125" bestFit="1" customWidth="1"/>
  </cols>
  <sheetData>
    <row r="2" spans="2:5" x14ac:dyDescent="0.25">
      <c r="B2" s="9" t="s">
        <v>38</v>
      </c>
      <c r="C2" s="9" t="s">
        <v>17</v>
      </c>
      <c r="D2" s="9" t="s">
        <v>39</v>
      </c>
      <c r="E2" s="9" t="s">
        <v>56</v>
      </c>
    </row>
    <row r="3" spans="2:5" x14ac:dyDescent="0.25">
      <c r="B3" t="s">
        <v>40</v>
      </c>
      <c r="C3" t="s">
        <v>41</v>
      </c>
    </row>
    <row r="4" spans="2:5" x14ac:dyDescent="0.25">
      <c r="B4" t="s">
        <v>42</v>
      </c>
      <c r="C4" t="s">
        <v>43</v>
      </c>
    </row>
    <row r="5" spans="2:5" x14ac:dyDescent="0.25">
      <c r="B5" t="s">
        <v>44</v>
      </c>
      <c r="C5">
        <v>32155000</v>
      </c>
      <c r="D5" t="s">
        <v>54</v>
      </c>
    </row>
    <row r="6" spans="2:5" x14ac:dyDescent="0.25">
      <c r="B6" t="s">
        <v>45</v>
      </c>
      <c r="C6" s="21">
        <v>14719000</v>
      </c>
      <c r="D6" t="s">
        <v>54</v>
      </c>
    </row>
    <row r="7" spans="2:5" x14ac:dyDescent="0.25">
      <c r="B7" s="13" t="s">
        <v>64</v>
      </c>
      <c r="C7" s="22">
        <v>46874000</v>
      </c>
    </row>
    <row r="8" spans="2:5" x14ac:dyDescent="0.25">
      <c r="B8" t="s">
        <v>46</v>
      </c>
      <c r="C8" s="21" t="s">
        <v>47</v>
      </c>
      <c r="D8" t="s">
        <v>54</v>
      </c>
    </row>
    <row r="9" spans="2:5" x14ac:dyDescent="0.25">
      <c r="B9" t="s">
        <v>48</v>
      </c>
      <c r="C9" s="21" t="s">
        <v>49</v>
      </c>
      <c r="D9" t="s">
        <v>54</v>
      </c>
    </row>
    <row r="10" spans="2:5" x14ac:dyDescent="0.25">
      <c r="B10" t="s">
        <v>50</v>
      </c>
      <c r="C10" s="21">
        <v>1.83</v>
      </c>
      <c r="D10" t="s">
        <v>54</v>
      </c>
    </row>
    <row r="11" spans="2:5" x14ac:dyDescent="0.25">
      <c r="B11" t="s">
        <v>22</v>
      </c>
      <c r="C11" s="21" t="s">
        <v>23</v>
      </c>
      <c r="D11" t="s">
        <v>54</v>
      </c>
    </row>
    <row r="12" spans="2:5" x14ac:dyDescent="0.25">
      <c r="B12" t="s">
        <v>27</v>
      </c>
      <c r="C12" s="21">
        <v>334000</v>
      </c>
      <c r="D12" t="s">
        <v>54</v>
      </c>
    </row>
    <row r="13" spans="2:5" x14ac:dyDescent="0.25">
      <c r="B13" t="s">
        <v>51</v>
      </c>
      <c r="C13" s="21">
        <v>14719</v>
      </c>
      <c r="D13" t="s">
        <v>54</v>
      </c>
    </row>
    <row r="14" spans="2:5" x14ac:dyDescent="0.25">
      <c r="B14" t="s">
        <v>28</v>
      </c>
      <c r="C14" s="21" t="s">
        <v>29</v>
      </c>
      <c r="D14" t="s">
        <v>54</v>
      </c>
    </row>
    <row r="15" spans="2:5" x14ac:dyDescent="0.25">
      <c r="B15" t="s">
        <v>52</v>
      </c>
      <c r="C15" s="21">
        <v>3752.43</v>
      </c>
      <c r="D15" t="s">
        <v>54</v>
      </c>
    </row>
    <row r="16" spans="2:5" x14ac:dyDescent="0.25">
      <c r="B16" t="s">
        <v>53</v>
      </c>
      <c r="C16" s="21" t="s">
        <v>61</v>
      </c>
      <c r="D16" t="s">
        <v>54</v>
      </c>
    </row>
    <row r="17" spans="2:5" x14ac:dyDescent="0.25">
      <c r="B17" t="s">
        <v>32</v>
      </c>
      <c r="C17" s="15" t="s">
        <v>62</v>
      </c>
      <c r="D17" t="s">
        <v>54</v>
      </c>
      <c r="E17" s="14" t="s">
        <v>63</v>
      </c>
    </row>
  </sheetData>
  <pageMargins left="0.7" right="0.7" top="0.75" bottom="0.75" header="0.3" footer="0.3"/>
  <ignoredErrors>
    <ignoredError sqref="C8:C9 C14 C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1B7F-840B-41F5-BF96-38F7B2C5F0BD}">
  <sheetPr>
    <tabColor theme="5" tint="0.59999389629810485"/>
  </sheetPr>
  <dimension ref="B2:C6"/>
  <sheetViews>
    <sheetView workbookViewId="0">
      <selection activeCell="D23" sqref="D23"/>
    </sheetView>
  </sheetViews>
  <sheetFormatPr defaultRowHeight="15" x14ac:dyDescent="0.25"/>
  <cols>
    <col min="1" max="1" width="4.28515625" customWidth="1"/>
    <col min="2" max="2" width="20.140625" bestFit="1" customWidth="1"/>
    <col min="3" max="3" width="8.7109375" customWidth="1"/>
  </cols>
  <sheetData>
    <row r="2" spans="2:3" x14ac:dyDescent="0.25">
      <c r="B2" s="8" t="s">
        <v>25</v>
      </c>
      <c r="C2" s="8" t="s">
        <v>17</v>
      </c>
    </row>
    <row r="3" spans="2:3" x14ac:dyDescent="0.25">
      <c r="B3" t="s">
        <v>46</v>
      </c>
      <c r="C3" s="17" t="s">
        <v>47</v>
      </c>
    </row>
    <row r="4" spans="2:3" x14ac:dyDescent="0.25">
      <c r="B4" t="s">
        <v>50</v>
      </c>
      <c r="C4" s="17">
        <v>1.83</v>
      </c>
    </row>
    <row r="5" spans="2:3" x14ac:dyDescent="0.25">
      <c r="B5" t="s">
        <v>48</v>
      </c>
      <c r="C5" s="17" t="s">
        <v>49</v>
      </c>
    </row>
    <row r="6" spans="2:3" x14ac:dyDescent="0.25">
      <c r="B6" t="s">
        <v>60</v>
      </c>
      <c r="C6" s="16">
        <f>C3+C4*(C5)</f>
        <v>0.14365</v>
      </c>
    </row>
  </sheetData>
  <pageMargins left="0.7" right="0.7" top="0.75" bottom="0.75" header="0.3" footer="0.3"/>
  <ignoredErrors>
    <ignoredError sqref="C3 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05A7-14AE-4E42-B47E-BB50AD5A47DB}">
  <sheetPr>
    <tabColor theme="5" tint="0.59999389629810485"/>
  </sheetPr>
  <dimension ref="B2:D9"/>
  <sheetViews>
    <sheetView workbookViewId="0">
      <selection activeCell="C5" sqref="C5"/>
    </sheetView>
  </sheetViews>
  <sheetFormatPr defaultRowHeight="15" x14ac:dyDescent="0.25"/>
  <cols>
    <col min="1" max="1" width="4.140625" customWidth="1"/>
    <col min="2" max="2" width="20.5703125" bestFit="1" customWidth="1"/>
    <col min="3" max="3" width="13.28515625" bestFit="1" customWidth="1"/>
    <col min="4" max="4" width="32.85546875" bestFit="1" customWidth="1"/>
  </cols>
  <sheetData>
    <row r="2" spans="2:4" x14ac:dyDescent="0.25">
      <c r="B2" s="8" t="s">
        <v>25</v>
      </c>
      <c r="C2" s="8" t="s">
        <v>17</v>
      </c>
      <c r="D2" s="8" t="s">
        <v>26</v>
      </c>
    </row>
    <row r="3" spans="2:4" x14ac:dyDescent="0.25">
      <c r="B3" t="s">
        <v>27</v>
      </c>
      <c r="C3">
        <v>334000</v>
      </c>
    </row>
    <row r="4" spans="2:4" x14ac:dyDescent="0.25">
      <c r="B4" t="s">
        <v>51</v>
      </c>
      <c r="C4">
        <v>14719000</v>
      </c>
    </row>
    <row r="5" spans="2:4" x14ac:dyDescent="0.25">
      <c r="B5" t="s">
        <v>58</v>
      </c>
      <c r="C5" s="12">
        <f>C3/C4</f>
        <v>2.2691758951015693E-2</v>
      </c>
      <c r="D5" s="13" t="s">
        <v>67</v>
      </c>
    </row>
    <row r="6" spans="2:4" x14ac:dyDescent="0.25">
      <c r="B6" t="s">
        <v>57</v>
      </c>
      <c r="C6" s="11">
        <v>135300</v>
      </c>
    </row>
    <row r="7" spans="2:4" x14ac:dyDescent="0.25">
      <c r="B7" t="s">
        <v>28</v>
      </c>
      <c r="C7">
        <v>5217000</v>
      </c>
    </row>
    <row r="8" spans="2:4" x14ac:dyDescent="0.25">
      <c r="B8" t="s">
        <v>59</v>
      </c>
      <c r="C8" s="12">
        <f>C6/C7</f>
        <v>2.5934445083381254E-2</v>
      </c>
      <c r="D8" s="13" t="s">
        <v>68</v>
      </c>
    </row>
    <row r="9" spans="2:4" x14ac:dyDescent="0.25">
      <c r="B9" t="s">
        <v>30</v>
      </c>
      <c r="C9" s="12">
        <f>C5*(1-C8)</f>
        <v>2.2103260774655249E-2</v>
      </c>
      <c r="D9" s="1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209B-9138-4C16-9E10-50544ED9579F}">
  <sheetPr>
    <tabColor theme="5" tint="0.59999389629810485"/>
  </sheetPr>
  <dimension ref="B2:D8"/>
  <sheetViews>
    <sheetView workbookViewId="0">
      <selection activeCell="C8" sqref="C8"/>
    </sheetView>
  </sheetViews>
  <sheetFormatPr defaultRowHeight="15" x14ac:dyDescent="0.25"/>
  <cols>
    <col min="1" max="1" width="3.85546875" customWidth="1"/>
    <col min="2" max="2" width="24.85546875" bestFit="1" customWidth="1"/>
    <col min="3" max="3" width="20.42578125" bestFit="1" customWidth="1"/>
    <col min="4" max="4" width="46.5703125" bestFit="1" customWidth="1"/>
  </cols>
  <sheetData>
    <row r="2" spans="2:4" x14ac:dyDescent="0.25">
      <c r="B2" s="8" t="s">
        <v>16</v>
      </c>
      <c r="C2" s="8" t="s">
        <v>17</v>
      </c>
      <c r="D2" s="8" t="s">
        <v>56</v>
      </c>
    </row>
    <row r="3" spans="2:4" x14ac:dyDescent="0.25">
      <c r="B3" t="s">
        <v>18</v>
      </c>
      <c r="C3" s="10">
        <v>0.68589999999999995</v>
      </c>
      <c r="D3" s="13" t="s">
        <v>65</v>
      </c>
    </row>
    <row r="4" spans="2:4" x14ac:dyDescent="0.25">
      <c r="B4" t="s">
        <v>19</v>
      </c>
      <c r="C4" s="10">
        <v>0.314</v>
      </c>
      <c r="D4" s="13" t="s">
        <v>66</v>
      </c>
    </row>
    <row r="5" spans="2:4" x14ac:dyDescent="0.25">
      <c r="B5" t="s">
        <v>20</v>
      </c>
      <c r="C5" s="10">
        <f>'Cost Of Equity '!C6</f>
        <v>0.14365</v>
      </c>
    </row>
    <row r="6" spans="2:4" x14ac:dyDescent="0.25">
      <c r="B6" t="s">
        <v>21</v>
      </c>
      <c r="C6" s="10">
        <f>'Cost Of Debt '!C5</f>
        <v>2.2691758951015693E-2</v>
      </c>
    </row>
    <row r="7" spans="2:4" ht="15.75" thickBot="1" x14ac:dyDescent="0.3">
      <c r="B7" t="s">
        <v>22</v>
      </c>
      <c r="C7" s="10">
        <v>0.27</v>
      </c>
    </row>
    <row r="8" spans="2:4" x14ac:dyDescent="0.25">
      <c r="B8" s="18" t="s">
        <v>24</v>
      </c>
      <c r="C8" s="19">
        <f>(C3*C5)+(C4*C6*(1-C7))</f>
        <v>0.1037309399867518</v>
      </c>
      <c r="D8" s="20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2A85-331F-47B5-93EA-794B2B5EA76B}">
  <sheetPr>
    <tabColor theme="5" tint="0.59999389629810485"/>
  </sheetPr>
  <dimension ref="B2:K16"/>
  <sheetViews>
    <sheetView workbookViewId="0">
      <selection activeCell="D11" sqref="D11"/>
    </sheetView>
  </sheetViews>
  <sheetFormatPr defaultRowHeight="15" x14ac:dyDescent="0.25"/>
  <cols>
    <col min="1" max="1" width="3.28515625" customWidth="1"/>
    <col min="2" max="2" width="14.85546875" bestFit="1" customWidth="1"/>
    <col min="3" max="3" width="14.7109375" bestFit="1" customWidth="1"/>
    <col min="4" max="4" width="15.85546875" bestFit="1" customWidth="1"/>
    <col min="5" max="5" width="12.140625" bestFit="1" customWidth="1"/>
    <col min="6" max="6" width="10.85546875" bestFit="1" customWidth="1"/>
    <col min="10" max="10" width="20.7109375" bestFit="1" customWidth="1"/>
    <col min="11" max="11" width="30" bestFit="1" customWidth="1"/>
  </cols>
  <sheetData>
    <row r="2" spans="2:11" x14ac:dyDescent="0.25">
      <c r="B2" s="28" t="s">
        <v>73</v>
      </c>
      <c r="C2" s="28"/>
      <c r="D2" s="28"/>
      <c r="E2" s="24"/>
    </row>
    <row r="3" spans="2:11" x14ac:dyDescent="0.25">
      <c r="B3" s="28" t="s">
        <v>74</v>
      </c>
      <c r="C3" s="28"/>
      <c r="D3" s="28"/>
      <c r="E3" s="25"/>
    </row>
    <row r="5" spans="2:11" x14ac:dyDescent="0.25">
      <c r="B5" s="8" t="s">
        <v>31</v>
      </c>
      <c r="C5" s="8" t="s">
        <v>24</v>
      </c>
      <c r="D5" s="8" t="s">
        <v>32</v>
      </c>
      <c r="E5" s="8" t="s">
        <v>33</v>
      </c>
      <c r="F5" s="8" t="s">
        <v>34</v>
      </c>
      <c r="J5" s="8" t="s">
        <v>78</v>
      </c>
    </row>
    <row r="6" spans="2:11" x14ac:dyDescent="0.25">
      <c r="B6" t="s">
        <v>35</v>
      </c>
      <c r="C6" s="12">
        <v>0.1037</v>
      </c>
      <c r="D6">
        <v>1194135.8</v>
      </c>
      <c r="E6">
        <v>1179416.8</v>
      </c>
      <c r="F6" s="23">
        <f>E6/'Raw Data'!C15</f>
        <v>314.30747542259286</v>
      </c>
    </row>
    <row r="7" spans="2:11" x14ac:dyDescent="0.25">
      <c r="B7" t="s">
        <v>70</v>
      </c>
      <c r="C7" s="12">
        <f>C6-0.01</f>
        <v>9.3700000000000006E-2</v>
      </c>
      <c r="D7" s="23">
        <f>D6*1.1</f>
        <v>1313549.3800000001</v>
      </c>
      <c r="E7" s="23">
        <f>D7-'Raw Data'!C13</f>
        <v>1298830.3800000001</v>
      </c>
      <c r="F7" s="23">
        <f>E7/'Raw Data'!C15</f>
        <v>346.13047545190722</v>
      </c>
      <c r="J7" s="1" t="s">
        <v>79</v>
      </c>
      <c r="K7" t="s">
        <v>80</v>
      </c>
    </row>
    <row r="8" spans="2:11" x14ac:dyDescent="0.25">
      <c r="B8" t="s">
        <v>71</v>
      </c>
      <c r="C8" s="12">
        <f>C6+0.01</f>
        <v>0.1137</v>
      </c>
      <c r="D8" s="23">
        <f>D6*0.9</f>
        <v>1074722.22</v>
      </c>
      <c r="E8" s="23">
        <f>D8-'Raw Data'!C13</f>
        <v>1060003.22</v>
      </c>
      <c r="F8" s="23">
        <f>E8/'Raw Data'!C15</f>
        <v>282.4844753932785</v>
      </c>
      <c r="K8" t="s">
        <v>81</v>
      </c>
    </row>
    <row r="9" spans="2:11" x14ac:dyDescent="0.25">
      <c r="K9" t="s">
        <v>82</v>
      </c>
    </row>
    <row r="10" spans="2:11" x14ac:dyDescent="0.25">
      <c r="B10" s="8" t="s">
        <v>31</v>
      </c>
      <c r="C10" s="8" t="s">
        <v>75</v>
      </c>
      <c r="D10" s="8" t="s">
        <v>76</v>
      </c>
      <c r="E10" s="9" t="s">
        <v>77</v>
      </c>
      <c r="K10" s="1" t="s">
        <v>83</v>
      </c>
    </row>
    <row r="11" spans="2:11" x14ac:dyDescent="0.25">
      <c r="B11" t="s">
        <v>36</v>
      </c>
      <c r="C11" s="26">
        <f>'Capital Structure'!I14*0.9</f>
        <v>1.647</v>
      </c>
      <c r="D11" s="7">
        <f>'Raw Data'!C8+C11*'Raw Data'!C9</f>
        <v>0.13358500000000001</v>
      </c>
      <c r="E11" s="27">
        <f>(WACC!C3*D11)+(WACC!C4*WACC!C6*(1-WACC!C7))</f>
        <v>9.6827356486751809E-2</v>
      </c>
      <c r="K11" t="s">
        <v>84</v>
      </c>
    </row>
    <row r="12" spans="2:11" x14ac:dyDescent="0.25">
      <c r="B12" t="s">
        <v>37</v>
      </c>
      <c r="C12" s="26">
        <f>'Capital Structure'!I14*1.1</f>
        <v>2.0130000000000003</v>
      </c>
      <c r="D12" s="7">
        <f>'Raw Data'!C8+'Sensitivity Analysis'!C12*'Raw Data'!C9</f>
        <v>0.15371500000000002</v>
      </c>
      <c r="E12" s="27">
        <f>(WACC!C3*D12)+(WACC!C4*WACC!C6*(1-WACC!C7))</f>
        <v>0.11063452348675182</v>
      </c>
      <c r="K12" s="1" t="s">
        <v>85</v>
      </c>
    </row>
    <row r="13" spans="2:11" x14ac:dyDescent="0.25">
      <c r="K13" t="s">
        <v>86</v>
      </c>
    </row>
    <row r="14" spans="2:11" x14ac:dyDescent="0.25">
      <c r="K14" s="1" t="s">
        <v>87</v>
      </c>
    </row>
    <row r="15" spans="2:11" x14ac:dyDescent="0.25">
      <c r="K15" t="s">
        <v>88</v>
      </c>
    </row>
    <row r="16" spans="2:11" x14ac:dyDescent="0.25">
      <c r="K16" t="s">
        <v>89</v>
      </c>
    </row>
  </sheetData>
  <mergeCells count="2">
    <mergeCell ref="B3:D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Capital Structure</vt:lpstr>
      <vt:lpstr>Raw Data</vt:lpstr>
      <vt:lpstr>Cost Of Equity </vt:lpstr>
      <vt:lpstr>Cost Of Debt </vt:lpstr>
      <vt:lpstr>WACC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Patidar</dc:creator>
  <cp:lastModifiedBy>Govind Patidar</cp:lastModifiedBy>
  <dcterms:created xsi:type="dcterms:W3CDTF">2026-08-05T04:52:29Z</dcterms:created>
  <dcterms:modified xsi:type="dcterms:W3CDTF">2026-08-10T07:50:41Z</dcterms:modified>
</cp:coreProperties>
</file>